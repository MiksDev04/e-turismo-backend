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7" name="Name of Establishment" state="visible" r:id="rId4"/>
    <sheet sheetId="20" name="AE DAE-1B by Country (Sum) " state="visible" r:id="rId5"/>
    <sheet sheetId="21" name="AE DAE-1B (Monthly)" state="visible" r:id="rId6"/>
  </sheets>
  <definedNames>
    <definedName name="_xlnm.Print_Area" localSheetId="0">'Name of Establishment'!$A1:$AG181</definedName>
    <definedName name="_xlnm.Print_Titles" localSheetId="0">'Name of Establishment'!$7:$8</definedName>
    <definedName name="_xlnm.Print_Area" localSheetId="1">'AE DAE-1B by Country (Sum) '!$A1:$B182</definedName>
    <definedName name="_xlnm.Print_Titles" localSheetId="1">'AE DAE-1B by Country (Sum) '!$7:$7</definedName>
  </definedNames>
  <calcPr calcId="171027"/>
</workbook>
</file>

<file path=xl/sharedStrings.xml><?xml version="1.0" encoding="utf-8"?>
<sst xmlns="http://schemas.openxmlformats.org/spreadsheetml/2006/main" count="461" uniqueCount="153">
  <si>
    <t>Sample Resort &amp; Spa</t>
  </si>
  <si>
    <t>Region: __4-A</t>
  </si>
  <si>
    <t>January 2025</t>
  </si>
  <si>
    <t>(Month, Year)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</si>
  <si>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</si>
  <si>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</si>
  <si>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</si>
  <si>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</si>
  <si>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</si>
  <si>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</si>
  <si>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</si>
  <si>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</si>
  <si>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t>DOT Accreditation Classification: AAA</t>
  </si>
  <si>
    <t>AE ID Code (LGU Assigned): LGU-12345</t>
  </si>
  <si>
    <t>AE ID Code (LGU Assigned): ____________________________________________</t>
  </si>
  <si>
    <t>City/Municipality: Lucena City</t>
  </si>
  <si>
    <t>Province: Quezon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</si>
  <si>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</si>
  <si>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</si>
  <si>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</si>
  <si>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</si>
  <si>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</si>
  <si>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</si>
  <si>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</si>
  <si>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</si>
  <si>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</si>
  <si>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</si>
  <si>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</si>
  <si>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</si>
  <si>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</si>
  <si>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</si>
  <si>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</si>
  <si>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</si>
  <si>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</si>
  <si>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</si>
  <si>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</si>
  <si>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</si>
  <si>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</si>
  <si>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</si>
  <si>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</si>
  <si>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</si>
  <si>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</si>
  <si>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</si>
  <si>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</si>
  <si>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</si>
  <si>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</si>
  <si>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</si>
  <si>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</si>
  <si>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</si>
  <si>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</si>
  <si>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</si>
  <si>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</si>
  <si>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</si>
  <si>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</si>
  <si>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</si>
  <si>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</si>
  <si>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</si>
  <si>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</si>
  <si>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</si>
  <si>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</si>
  <si>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</si>
  <si>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</si>
  <si>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</si>
  <si>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</si>
  <si>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</si>
  <si>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</si>
  <si>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</si>
  <si>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</si>
  <si>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</si>
  <si>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</si>
  <si>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</si>
  <si>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</si>
  <si>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</si>
  <si>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</si>
  <si>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</si>
  <si>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</si>
  <si>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</si>
  <si>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</si>
  <si>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</si>
  <si>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</si>
  <si>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</si>
  <si>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</si>
  <si>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</si>
  <si>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</si>
  <si>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</si>
  <si>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</si>
  <si>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</si>
  <si>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</si>
  <si>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</si>
  <si>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</si>
  <si>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</si>
  <si>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</si>
  <si>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</si>
  <si>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</si>
  <si>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</si>
  <si>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</si>
  <si>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</si>
  <si>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</si>
  <si>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</si>
  <si>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</si>
  <si>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</si>
  <si>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</si>
  <si>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</si>
  <si>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</si>
  <si>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</si>
  <si>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</si>
  <si>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</si>
  <si>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</si>
  <si>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</si>
  <si>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</si>
  <si>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</si>
  <si>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</si>
  <si>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</si>
  <si>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</si>
  <si>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</si>
  <si>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</si>
  <si>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</si>
  <si>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</si>
  <si>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</si>
  <si>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</si>
  <si>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</si>
  <si>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</si>
  <si>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</si>
  <si>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</si>
  <si>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</si>
  <si>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</si>
  <si>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</si>
  <si>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</si>
  <si>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</si>
  <si>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</si>
  <si>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</si>
  <si>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</si>
  <si>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>Prepared by:  Juan Dela Cruz                         General Manager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</si>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</sst>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0" xfId="0" applyFont="1" applyFill="1" applyProtection="1"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1" fillId="4" borderId="0" xfId="0" applyFont="1" applyFill="1" applyProtection="1"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" fillId="5" borderId="0" xfId="0" applyFont="1" applyFill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0" xfId="0" applyFont="1" applyFill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" fillId="7" borderId="0" xfId="0" applyFont="1" applyFill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" fillId="5" borderId="5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6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0" xfId="0" applyFont="1"/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" fillId="4" borderId="0" xfId="0" applyFont="1" applyFill="1"/>
    <xf numFmtId="0" fontId="3" fillId="4" borderId="2" xfId="0" applyFont="1" applyFill="1" applyBorder="1"/>
    <xf numFmtId="0" fontId="3" fillId="4" borderId="4" xfId="0" applyFont="1" applyFill="1" applyBorder="1"/>
    <xf numFmtId="0" fontId="1" fillId="5" borderId="0" xfId="0" applyFont="1" applyFill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1" fillId="6" borderId="0" xfId="0" applyFont="1" applyFill="1"/>
    <xf numFmtId="0" fontId="3" fillId="4" borderId="1" xfId="0" applyFont="1" applyFill="1" applyBorder="1"/>
    <xf numFmtId="0" fontId="1" fillId="7" borderId="0" xfId="0" applyFont="1" applyFill="1"/>
    <xf numFmtId="0" fontId="12" fillId="7" borderId="3" xfId="0" applyFont="1" applyFill="1" applyBorder="1"/>
    <xf numFmtId="0" fontId="12" fillId="4" borderId="3" xfId="0" applyFont="1" applyFill="1" applyBorder="1"/>
    <xf numFmtId="0" fontId="1" fillId="5" borderId="5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6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7" xfId="0" applyFont="1" applyFill="1" applyBorder="1" applyAlignment="1">
      <alignment horizontal="center"/>
    </xf>
    <xf numFmtId="0" fontId="3" fillId="4" borderId="8" xfId="0" applyFont="1" applyFill="1" applyBorder="1"/>
    <xf numFmtId="0" fontId="3" fillId="4" borderId="9" xfId="0" applyFont="1" applyFill="1" applyBorder="1"/>
    <xf numFmtId="0" fontId="10" fillId="5" borderId="10" xfId="0" applyFont="1" applyFill="1" applyBorder="1"/>
    <xf numFmtId="0" fontId="10" fillId="5" borderId="1" xfId="0" applyFont="1" applyFill="1" applyBorder="1"/>
    <xf numFmtId="0" fontId="3" fillId="5" borderId="7" xfId="0" applyFont="1" applyFill="1" applyBorder="1"/>
    <xf numFmtId="0" fontId="12" fillId="2" borderId="10" xfId="0" applyFont="1" applyFill="1" applyBorder="1"/>
    <xf numFmtId="0" fontId="12" fillId="2" borderId="1" xfId="0" applyFont="1" applyFill="1" applyBorder="1"/>
    <xf numFmtId="0" fontId="10" fillId="2" borderId="7" xfId="0" applyFont="1" applyFill="1" applyBorder="1"/>
    <xf numFmtId="0" fontId="10" fillId="6" borderId="10" xfId="0" applyFont="1" applyFill="1" applyBorder="1"/>
    <xf numFmtId="0" fontId="3" fillId="4" borderId="10" xfId="0" applyFont="1" applyFill="1" applyBorder="1"/>
    <xf numFmtId="0" fontId="10" fillId="4" borderId="7" xfId="0" applyFont="1" applyFill="1" applyBorder="1"/>
    <xf numFmtId="0" fontId="10" fillId="5" borderId="7" xfId="0" applyFont="1" applyFill="1" applyBorder="1"/>
    <xf numFmtId="0" fontId="12" fillId="5" borderId="10" xfId="0" applyFont="1" applyFill="1" applyBorder="1"/>
    <xf numFmtId="0" fontId="12" fillId="5" borderId="1" xfId="0" applyFont="1" applyFill="1" applyBorder="1"/>
    <xf numFmtId="0" fontId="12" fillId="7" borderId="10" xfId="0" applyFont="1" applyFill="1" applyBorder="1"/>
    <xf numFmtId="0" fontId="12" fillId="7" borderId="1" xfId="0" applyFont="1" applyFill="1" applyBorder="1"/>
    <xf numFmtId="0" fontId="12" fillId="4" borderId="10" xfId="0" applyFont="1" applyFill="1" applyBorder="1"/>
    <xf numFmtId="0" fontId="12" fillId="4" borderId="1" xfId="0" applyFont="1" applyFill="1" applyBorder="1"/>
    <xf numFmtId="0" fontId="1" fillId="0" borderId="5" xfId="0" applyFont="1" applyBorder="1"/>
    <xf numFmtId="0" fontId="12" fillId="4" borderId="11" xfId="0" applyFont="1" applyFill="1" applyBorder="1"/>
    <xf numFmtId="0" fontId="10" fillId="4" borderId="10" xfId="0" applyFont="1" applyFill="1" applyBorder="1"/>
    <xf numFmtId="0" fontId="10" fillId="4" borderId="1" xfId="0" applyFont="1" applyFill="1" applyBorder="1"/>
    <xf numFmtId="0" fontId="10" fillId="4" borderId="9" xfId="0" applyFont="1" applyFill="1" applyBorder="1"/>
    <xf numFmtId="0" fontId="12" fillId="0" borderId="1" xfId="0" applyFont="1" applyBorder="1"/>
    <xf numFmtId="0" fontId="10" fillId="4" borderId="12" xfId="0" applyFont="1" applyFill="1" applyBorder="1"/>
    <xf numFmtId="0" fontId="10" fillId="8" borderId="6" xfId="0" applyFont="1" applyFill="1" applyBorder="1"/>
    <xf numFmtId="0" fontId="10" fillId="6" borderId="6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6" xfId="0" applyFont="1" applyFill="1" applyBorder="1"/>
    <xf numFmtId="0" fontId="10" fillId="8" borderId="7" xfId="0" applyFont="1" applyFill="1" applyBorder="1"/>
    <xf numFmtId="0" fontId="13" fillId="2" borderId="6" xfId="0" applyFont="1" applyFill="1" applyBorder="1"/>
    <xf numFmtId="0" fontId="15" fillId="4" borderId="6" xfId="0" applyFont="1" applyFill="1" applyBorder="1"/>
    <xf numFmtId="0" fontId="14" fillId="2" borderId="7" xfId="0" applyFont="1" applyFill="1" applyBorder="1"/>
    <xf numFmtId="0" fontId="14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20.xml"/><Relationship Id="rId6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5"/>
    </row>
    <row r="4" spans="1:33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8"/>
    </row>
    <row r="6" ht="15.6" customHeight="1" spans="1:3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ht="15.6" customHeight="1" spans="1:33" s="11" customFormat="1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3" x14ac:dyDescent="0.25">
      <c r="A9" s="14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8</v>
      </c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9</v>
      </c>
      <c r="B13" s="1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10</v>
      </c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11</v>
      </c>
      <c r="B15" s="1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4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4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4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x14ac:dyDescent="0.25">
      <c r="A22" s="14" t="s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4" t="s"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s="17" customFormat="1" x14ac:dyDescent="0.25">
      <c r="A25" s="18" t="s">
        <v>17</v>
      </c>
      <c r="B25" s="19">
        <v>1</v>
      </c>
      <c r="C25" s="19">
        <v>2</v>
      </c>
      <c r="D25" s="19">
        <v>3</v>
      </c>
      <c r="E25" s="19">
        <v>4</v>
      </c>
      <c r="F25" s="19">
        <v>5</v>
      </c>
      <c r="G25" s="19">
        <v>6</v>
      </c>
      <c r="H25" s="19">
        <v>7</v>
      </c>
      <c r="I25" s="19">
        <v>8</v>
      </c>
      <c r="J25" s="19">
        <v>9</v>
      </c>
      <c r="K25" s="19">
        <v>10</v>
      </c>
      <c r="L25" s="19">
        <v>11</v>
      </c>
      <c r="M25" s="19">
        <v>12</v>
      </c>
      <c r="N25" s="19">
        <v>13</v>
      </c>
      <c r="O25" s="19">
        <v>14</v>
      </c>
      <c r="P25" s="19">
        <v>15</v>
      </c>
      <c r="Q25" s="19">
        <v>16</v>
      </c>
      <c r="R25" s="19">
        <v>17</v>
      </c>
      <c r="S25" s="19">
        <v>18</v>
      </c>
      <c r="T25" s="19">
        <v>19</v>
      </c>
      <c r="U25" s="19">
        <v>20</v>
      </c>
      <c r="V25" s="19">
        <v>21</v>
      </c>
      <c r="W25" s="19">
        <v>22</v>
      </c>
      <c r="X25" s="19">
        <v>23</v>
      </c>
      <c r="Y25" s="19">
        <v>24</v>
      </c>
      <c r="Z25" s="19">
        <v>25</v>
      </c>
      <c r="AA25" s="19">
        <v>26</v>
      </c>
      <c r="AB25" s="19">
        <v>27</v>
      </c>
      <c r="AC25" s="19">
        <v>28</v>
      </c>
      <c r="AD25" s="19">
        <v>29</v>
      </c>
      <c r="AE25" s="19">
        <v>30</v>
      </c>
      <c r="AF25" s="19">
        <v>31</v>
      </c>
      <c r="AG25" s="20" t="s">
        <v>18</v>
      </c>
    </row>
    <row r="26" spans="1:33" s="21" customForma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s="25" customFormat="1" x14ac:dyDescent="0.25">
      <c r="A27" s="26" t="s">
        <v>19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</row>
    <row r="28" spans="1:33" x14ac:dyDescent="0.25">
      <c r="A28" s="28" t="s">
        <v>20</v>
      </c>
      <c r="B28" s="29">
        <v>20</v>
      </c>
      <c r="C28" s="29">
        <v>18</v>
      </c>
      <c r="D28" s="29">
        <v>22</v>
      </c>
      <c r="E28" s="29">
        <v>25</v>
      </c>
      <c r="F28" s="29">
        <v>30</v>
      </c>
      <c r="G28" s="29">
        <v>28</v>
      </c>
      <c r="H28" s="29">
        <v>35</v>
      </c>
      <c r="I28" s="29">
        <v>32</v>
      </c>
      <c r="J28" s="29">
        <v>27</v>
      </c>
      <c r="K28" s="29">
        <v>24</v>
      </c>
      <c r="L28" s="29">
        <v>22</v>
      </c>
      <c r="M28" s="29">
        <v>20</v>
      </c>
      <c r="N28" s="29">
        <v>18</v>
      </c>
      <c r="O28" s="29">
        <v>21</v>
      </c>
      <c r="P28" s="29">
        <v>23</v>
      </c>
      <c r="Q28" s="29">
        <v>25</v>
      </c>
      <c r="R28" s="29">
        <v>28</v>
      </c>
      <c r="S28" s="29">
        <v>30</v>
      </c>
      <c r="T28" s="29">
        <v>32</v>
      </c>
      <c r="U28" s="29">
        <v>29</v>
      </c>
      <c r="V28" s="29">
        <v>26</v>
      </c>
      <c r="W28" s="29">
        <v>24</v>
      </c>
      <c r="X28" s="29">
        <v>22</v>
      </c>
      <c r="Y28" s="29">
        <v>20</v>
      </c>
      <c r="Z28" s="29">
        <v>18</v>
      </c>
      <c r="AA28" s="29">
        <v>21</v>
      </c>
      <c r="AB28" s="29">
        <v>25</v>
      </c>
      <c r="AC28" s="29">
        <v>28</v>
      </c>
      <c r="AD28" s="29">
        <v>30</v>
      </c>
      <c r="AE28" s="29">
        <v>27</v>
      </c>
      <c r="AF28" s="29">
        <v>24</v>
      </c>
      <c r="AG28" s="30">
        <f>SUM(B28:AF28)</f>
        <v>0</v>
      </c>
    </row>
    <row r="29" spans="1:33" x14ac:dyDescent="0.25">
      <c r="A29" s="28" t="s">
        <v>21</v>
      </c>
      <c r="B29" s="29">
        <v>2</v>
      </c>
      <c r="C29" s="29">
        <v>2</v>
      </c>
      <c r="D29" s="29">
        <v>3</v>
      </c>
      <c r="E29" s="29">
        <v>5</v>
      </c>
      <c r="F29" s="29">
        <v>0</v>
      </c>
      <c r="G29" s="29">
        <v>0</v>
      </c>
      <c r="H29" s="29">
        <v>5</v>
      </c>
      <c r="I29" s="29">
        <v>3</v>
      </c>
      <c r="J29" s="29">
        <v>5</v>
      </c>
      <c r="K29" s="29">
        <v>3</v>
      </c>
      <c r="L29" s="29">
        <v>0</v>
      </c>
      <c r="M29" s="29">
        <v>3</v>
      </c>
      <c r="N29" s="29">
        <v>2</v>
      </c>
      <c r="O29" s="29">
        <v>3</v>
      </c>
      <c r="P29" s="29">
        <v>3</v>
      </c>
      <c r="Q29" s="29">
        <v>2</v>
      </c>
      <c r="R29" s="29">
        <v>4</v>
      </c>
      <c r="S29" s="29">
        <v>0</v>
      </c>
      <c r="T29" s="29">
        <v>0</v>
      </c>
      <c r="U29" s="29">
        <v>2</v>
      </c>
      <c r="V29" s="29">
        <v>5</v>
      </c>
      <c r="W29" s="29">
        <v>4</v>
      </c>
      <c r="X29" s="29">
        <v>5</v>
      </c>
      <c r="Y29" s="29">
        <v>5</v>
      </c>
      <c r="Z29" s="29">
        <v>3</v>
      </c>
      <c r="AA29" s="29">
        <v>4</v>
      </c>
      <c r="AB29" s="29">
        <v>3</v>
      </c>
      <c r="AC29" s="29">
        <v>4</v>
      </c>
      <c r="AD29" s="29">
        <v>5</v>
      </c>
      <c r="AE29" s="29">
        <v>1</v>
      </c>
      <c r="AF29" s="29">
        <v>3</v>
      </c>
      <c r="AG29" s="30">
        <f t="shared" ref="AG29:AG30" si="0">SUM(B29:AF29)</f>
        <v>0</v>
      </c>
    </row>
    <row r="30" spans="1:33" s="31" customFormat="1" x14ac:dyDescent="0.25">
      <c r="A30" s="32" t="s">
        <v>22</v>
      </c>
      <c r="B30" s="33">
        <f>SUM(B28:B29)</f>
        <v>0</v>
      </c>
      <c r="C30" s="33">
        <f t="shared" ref="C30:AF30" si="1">SUM(C28:C29)</f>
        <v>0</v>
      </c>
      <c r="D30" s="33">
        <f t="shared" si="1"/>
        <v>0</v>
      </c>
      <c r="E30" s="33">
        <f t="shared" si="1"/>
        <v>0</v>
      </c>
      <c r="F30" s="33">
        <f t="shared" si="1"/>
        <v>0</v>
      </c>
      <c r="G30" s="33">
        <f t="shared" si="1"/>
        <v>0</v>
      </c>
      <c r="H30" s="33">
        <f t="shared" si="1"/>
        <v>0</v>
      </c>
      <c r="I30" s="33">
        <f t="shared" si="1"/>
        <v>0</v>
      </c>
      <c r="J30" s="33">
        <f t="shared" si="1"/>
        <v>0</v>
      </c>
      <c r="K30" s="33">
        <f t="shared" si="1"/>
        <v>0</v>
      </c>
      <c r="L30" s="33">
        <f t="shared" si="1"/>
        <v>0</v>
      </c>
      <c r="M30" s="33">
        <f t="shared" si="1"/>
        <v>0</v>
      </c>
      <c r="N30" s="33">
        <f t="shared" si="1"/>
        <v>0</v>
      </c>
      <c r="O30" s="33">
        <f t="shared" si="1"/>
        <v>0</v>
      </c>
      <c r="P30" s="33">
        <f t="shared" si="1"/>
        <v>0</v>
      </c>
      <c r="Q30" s="33">
        <f t="shared" si="1"/>
        <v>0</v>
      </c>
      <c r="R30" s="33">
        <f t="shared" si="1"/>
        <v>0</v>
      </c>
      <c r="S30" s="33">
        <f t="shared" si="1"/>
        <v>0</v>
      </c>
      <c r="T30" s="33">
        <f t="shared" si="1"/>
        <v>0</v>
      </c>
      <c r="U30" s="33">
        <f t="shared" si="1"/>
        <v>0</v>
      </c>
      <c r="V30" s="33">
        <f t="shared" si="1"/>
        <v>0</v>
      </c>
      <c r="W30" s="33">
        <f t="shared" si="1"/>
        <v>0</v>
      </c>
      <c r="X30" s="33">
        <f t="shared" si="1"/>
        <v>0</v>
      </c>
      <c r="Y30" s="33">
        <f t="shared" si="1"/>
        <v>0</v>
      </c>
      <c r="Z30" s="33">
        <f t="shared" si="1"/>
        <v>0</v>
      </c>
      <c r="AA30" s="33">
        <f t="shared" si="1"/>
        <v>0</v>
      </c>
      <c r="AB30" s="33">
        <f t="shared" si="1"/>
        <v>0</v>
      </c>
      <c r="AC30" s="33">
        <f t="shared" si="1"/>
        <v>0</v>
      </c>
      <c r="AD30" s="33">
        <f t="shared" si="1"/>
        <v>0</v>
      </c>
      <c r="AE30" s="33">
        <f t="shared" si="1"/>
        <v>0</v>
      </c>
      <c r="AF30" s="33">
        <f t="shared" si="1"/>
        <v>0</v>
      </c>
      <c r="AG30" s="34">
        <f t="shared" si="0"/>
        <v>0</v>
      </c>
    </row>
    <row r="31" spans="1:33" s="21" customForma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5"/>
    </row>
    <row r="32" spans="1:33" s="25" customFormat="1" x14ac:dyDescent="0.25">
      <c r="A32" s="26" t="s">
        <v>23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7"/>
    </row>
    <row r="33" spans="1:33" s="21" customForma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 t="s">
        <v>24</v>
      </c>
      <c r="AA33" s="23"/>
      <c r="AB33" s="23"/>
      <c r="AC33" s="23"/>
      <c r="AD33" s="23"/>
      <c r="AE33" s="23"/>
      <c r="AF33" s="23"/>
      <c r="AG33" s="35"/>
    </row>
    <row r="34" spans="1:33" s="25" customFormat="1" x14ac:dyDescent="0.25">
      <c r="A34" s="26" t="s">
        <v>25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7"/>
    </row>
    <row r="35" spans="1:33" s="25" customFormat="1" x14ac:dyDescent="0.25">
      <c r="A35" s="36" t="s">
        <v>26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27"/>
    </row>
    <row r="36" spans="1:33" x14ac:dyDescent="0.25">
      <c r="A36" s="28" t="s">
        <v>27</v>
      </c>
      <c r="B36" s="29">
        <v>3</v>
      </c>
      <c r="C36" s="29">
        <v>4</v>
      </c>
      <c r="D36" s="29">
        <v>3</v>
      </c>
      <c r="E36" s="29">
        <v>5</v>
      </c>
      <c r="F36" s="29">
        <v>1</v>
      </c>
      <c r="G36" s="29">
        <v>1</v>
      </c>
      <c r="H36" s="29">
        <v>1</v>
      </c>
      <c r="I36" s="29">
        <v>2</v>
      </c>
      <c r="J36" s="29">
        <v>0</v>
      </c>
      <c r="K36" s="29">
        <v>4</v>
      </c>
      <c r="L36" s="29">
        <v>3</v>
      </c>
      <c r="M36" s="29">
        <v>0</v>
      </c>
      <c r="N36" s="29">
        <v>2</v>
      </c>
      <c r="O36" s="29">
        <v>3</v>
      </c>
      <c r="P36" s="29">
        <v>5</v>
      </c>
      <c r="Q36" s="29">
        <v>2</v>
      </c>
      <c r="R36" s="29">
        <v>3</v>
      </c>
      <c r="S36" s="29">
        <v>4</v>
      </c>
      <c r="T36" s="29">
        <v>5</v>
      </c>
      <c r="U36" s="29">
        <v>0</v>
      </c>
      <c r="V36" s="29">
        <v>0</v>
      </c>
      <c r="W36" s="29">
        <v>5</v>
      </c>
      <c r="X36" s="29">
        <v>5</v>
      </c>
      <c r="Y36" s="29">
        <v>1</v>
      </c>
      <c r="Z36" s="29">
        <v>5</v>
      </c>
      <c r="AA36" s="29">
        <v>3</v>
      </c>
      <c r="AB36" s="29">
        <v>0</v>
      </c>
      <c r="AC36" s="29">
        <v>1</v>
      </c>
      <c r="AD36" s="29">
        <v>3</v>
      </c>
      <c r="AE36" s="29">
        <v>3</v>
      </c>
      <c r="AF36" s="29">
        <v>0</v>
      </c>
      <c r="AG36" s="30">
        <f t="shared" ref="AG36:AG45" si="2">SUM(B36:AF36)</f>
        <v>0</v>
      </c>
    </row>
    <row r="37" spans="1:33" x14ac:dyDescent="0.25">
      <c r="A37" s="28" t="s">
        <v>28</v>
      </c>
      <c r="B37" s="29">
        <v>1</v>
      </c>
      <c r="C37" s="29">
        <v>2</v>
      </c>
      <c r="D37" s="29">
        <v>0</v>
      </c>
      <c r="E37" s="29">
        <v>2</v>
      </c>
      <c r="F37" s="29">
        <v>2</v>
      </c>
      <c r="G37" s="29">
        <v>4</v>
      </c>
      <c r="H37" s="29">
        <v>3</v>
      </c>
      <c r="I37" s="29">
        <v>0</v>
      </c>
      <c r="J37" s="29">
        <v>0</v>
      </c>
      <c r="K37" s="29">
        <v>2</v>
      </c>
      <c r="L37" s="29">
        <v>0</v>
      </c>
      <c r="M37" s="29">
        <v>0</v>
      </c>
      <c r="N37" s="29">
        <v>5</v>
      </c>
      <c r="O37" s="29">
        <v>4</v>
      </c>
      <c r="P37" s="29">
        <v>0</v>
      </c>
      <c r="Q37" s="29">
        <v>4</v>
      </c>
      <c r="R37" s="29">
        <v>1</v>
      </c>
      <c r="S37" s="29">
        <v>3</v>
      </c>
      <c r="T37" s="29">
        <v>5</v>
      </c>
      <c r="U37" s="29">
        <v>1</v>
      </c>
      <c r="V37" s="29">
        <v>5</v>
      </c>
      <c r="W37" s="29">
        <v>1</v>
      </c>
      <c r="X37" s="29">
        <v>5</v>
      </c>
      <c r="Y37" s="29">
        <v>2</v>
      </c>
      <c r="Z37" s="29">
        <v>4</v>
      </c>
      <c r="AA37" s="29">
        <v>0</v>
      </c>
      <c r="AB37" s="29">
        <v>4</v>
      </c>
      <c r="AC37" s="29">
        <v>3</v>
      </c>
      <c r="AD37" s="29">
        <v>3</v>
      </c>
      <c r="AE37" s="29">
        <v>3</v>
      </c>
      <c r="AF37" s="29">
        <v>4</v>
      </c>
      <c r="AG37" s="30">
        <f t="shared" si="2"/>
        <v>0</v>
      </c>
    </row>
    <row r="38" spans="1:33" x14ac:dyDescent="0.25">
      <c r="A38" s="28" t="s">
        <v>29</v>
      </c>
      <c r="B38" s="29">
        <v>1</v>
      </c>
      <c r="C38" s="29">
        <v>0</v>
      </c>
      <c r="D38" s="29">
        <v>3</v>
      </c>
      <c r="E38" s="29">
        <v>3</v>
      </c>
      <c r="F38" s="29">
        <v>4</v>
      </c>
      <c r="G38" s="29">
        <v>5</v>
      </c>
      <c r="H38" s="29">
        <v>4</v>
      </c>
      <c r="I38" s="29">
        <v>0</v>
      </c>
      <c r="J38" s="29">
        <v>4</v>
      </c>
      <c r="K38" s="29">
        <v>4</v>
      </c>
      <c r="L38" s="29">
        <v>2</v>
      </c>
      <c r="M38" s="29">
        <v>3</v>
      </c>
      <c r="N38" s="29">
        <v>1</v>
      </c>
      <c r="O38" s="29">
        <v>5</v>
      </c>
      <c r="P38" s="29">
        <v>2</v>
      </c>
      <c r="Q38" s="29">
        <v>4</v>
      </c>
      <c r="R38" s="29">
        <v>4</v>
      </c>
      <c r="S38" s="29">
        <v>5</v>
      </c>
      <c r="T38" s="29">
        <v>3</v>
      </c>
      <c r="U38" s="29">
        <v>5</v>
      </c>
      <c r="V38" s="29">
        <v>0</v>
      </c>
      <c r="W38" s="29">
        <v>0</v>
      </c>
      <c r="X38" s="29">
        <v>3</v>
      </c>
      <c r="Y38" s="29">
        <v>2</v>
      </c>
      <c r="Z38" s="29">
        <v>4</v>
      </c>
      <c r="AA38" s="29">
        <v>0</v>
      </c>
      <c r="AB38" s="29">
        <v>0</v>
      </c>
      <c r="AC38" s="29">
        <v>4</v>
      </c>
      <c r="AD38" s="29">
        <v>0</v>
      </c>
      <c r="AE38" s="29">
        <v>4</v>
      </c>
      <c r="AF38" s="29">
        <v>1</v>
      </c>
      <c r="AG38" s="30">
        <f t="shared" si="2"/>
        <v>0</v>
      </c>
    </row>
    <row r="39" spans="1:33" x14ac:dyDescent="0.25">
      <c r="A39" s="28" t="s">
        <v>30</v>
      </c>
      <c r="B39" s="29">
        <v>0</v>
      </c>
      <c r="C39" s="29">
        <v>4</v>
      </c>
      <c r="D39" s="29">
        <v>3</v>
      </c>
      <c r="E39" s="29">
        <v>4</v>
      </c>
      <c r="F39" s="29">
        <v>0</v>
      </c>
      <c r="G39" s="29">
        <v>5</v>
      </c>
      <c r="H39" s="29">
        <v>2</v>
      </c>
      <c r="I39" s="29">
        <v>0</v>
      </c>
      <c r="J39" s="29">
        <v>4</v>
      </c>
      <c r="K39" s="29">
        <v>1</v>
      </c>
      <c r="L39" s="29">
        <v>5</v>
      </c>
      <c r="M39" s="29">
        <v>4</v>
      </c>
      <c r="N39" s="29">
        <v>1</v>
      </c>
      <c r="O39" s="29">
        <v>4</v>
      </c>
      <c r="P39" s="29">
        <v>3</v>
      </c>
      <c r="Q39" s="29">
        <v>4</v>
      </c>
      <c r="R39" s="29">
        <v>5</v>
      </c>
      <c r="S39" s="29">
        <v>4</v>
      </c>
      <c r="T39" s="29">
        <v>1</v>
      </c>
      <c r="U39" s="29">
        <v>1</v>
      </c>
      <c r="V39" s="29">
        <v>3</v>
      </c>
      <c r="W39" s="29">
        <v>1</v>
      </c>
      <c r="X39" s="29">
        <v>3</v>
      </c>
      <c r="Y39" s="29">
        <v>5</v>
      </c>
      <c r="Z39" s="29">
        <v>2</v>
      </c>
      <c r="AA39" s="29">
        <v>0</v>
      </c>
      <c r="AB39" s="29">
        <v>0</v>
      </c>
      <c r="AC39" s="29">
        <v>0</v>
      </c>
      <c r="AD39" s="29">
        <v>3</v>
      </c>
      <c r="AE39" s="29">
        <v>2</v>
      </c>
      <c r="AF39" s="29">
        <v>4</v>
      </c>
      <c r="AG39" s="30">
        <f t="shared" si="2"/>
        <v>0</v>
      </c>
    </row>
    <row r="40" spans="1:33" x14ac:dyDescent="0.25">
      <c r="A40" s="28" t="s">
        <v>31</v>
      </c>
      <c r="B40" s="29">
        <v>3</v>
      </c>
      <c r="C40" s="29">
        <v>2</v>
      </c>
      <c r="D40" s="29">
        <v>5</v>
      </c>
      <c r="E40" s="29">
        <v>0</v>
      </c>
      <c r="F40" s="29">
        <v>4</v>
      </c>
      <c r="G40" s="29">
        <v>0</v>
      </c>
      <c r="H40" s="29">
        <v>5</v>
      </c>
      <c r="I40" s="29">
        <v>0</v>
      </c>
      <c r="J40" s="29">
        <v>3</v>
      </c>
      <c r="K40" s="29">
        <v>3</v>
      </c>
      <c r="L40" s="29">
        <v>1</v>
      </c>
      <c r="M40" s="29">
        <v>0</v>
      </c>
      <c r="N40" s="29">
        <v>2</v>
      </c>
      <c r="O40" s="29">
        <v>5</v>
      </c>
      <c r="P40" s="29">
        <v>2</v>
      </c>
      <c r="Q40" s="29">
        <v>3</v>
      </c>
      <c r="R40" s="29">
        <v>3</v>
      </c>
      <c r="S40" s="29">
        <v>2</v>
      </c>
      <c r="T40" s="29">
        <v>3</v>
      </c>
      <c r="U40" s="29">
        <v>1</v>
      </c>
      <c r="V40" s="29">
        <v>1</v>
      </c>
      <c r="W40" s="29">
        <v>5</v>
      </c>
      <c r="X40" s="29">
        <v>2</v>
      </c>
      <c r="Y40" s="29">
        <v>2</v>
      </c>
      <c r="Z40" s="29">
        <v>3</v>
      </c>
      <c r="AA40" s="29">
        <v>4</v>
      </c>
      <c r="AB40" s="29">
        <v>4</v>
      </c>
      <c r="AC40" s="29">
        <v>2</v>
      </c>
      <c r="AD40" s="29">
        <v>4</v>
      </c>
      <c r="AE40" s="29">
        <v>5</v>
      </c>
      <c r="AF40" s="29">
        <v>1</v>
      </c>
      <c r="AG40" s="30">
        <f t="shared" si="2"/>
        <v>0</v>
      </c>
    </row>
    <row r="41" spans="1:33" x14ac:dyDescent="0.25">
      <c r="A41" s="28" t="s">
        <v>32</v>
      </c>
      <c r="B41" s="29">
        <v>3</v>
      </c>
      <c r="C41" s="29">
        <v>3</v>
      </c>
      <c r="D41" s="29">
        <v>5</v>
      </c>
      <c r="E41" s="29">
        <v>5</v>
      </c>
      <c r="F41" s="29">
        <v>2</v>
      </c>
      <c r="G41" s="29">
        <v>0</v>
      </c>
      <c r="H41" s="29">
        <v>4</v>
      </c>
      <c r="I41" s="29">
        <v>2</v>
      </c>
      <c r="J41" s="29">
        <v>1</v>
      </c>
      <c r="K41" s="29">
        <v>0</v>
      </c>
      <c r="L41" s="29">
        <v>0</v>
      </c>
      <c r="M41" s="29">
        <v>5</v>
      </c>
      <c r="N41" s="29">
        <v>3</v>
      </c>
      <c r="O41" s="29">
        <v>4</v>
      </c>
      <c r="P41" s="29">
        <v>5</v>
      </c>
      <c r="Q41" s="29">
        <v>2</v>
      </c>
      <c r="R41" s="29">
        <v>5</v>
      </c>
      <c r="S41" s="29">
        <v>2</v>
      </c>
      <c r="T41" s="29">
        <v>4</v>
      </c>
      <c r="U41" s="29">
        <v>1</v>
      </c>
      <c r="V41" s="29">
        <v>4</v>
      </c>
      <c r="W41" s="29">
        <v>3</v>
      </c>
      <c r="X41" s="29">
        <v>4</v>
      </c>
      <c r="Y41" s="29">
        <v>3</v>
      </c>
      <c r="Z41" s="29">
        <v>1</v>
      </c>
      <c r="AA41" s="29">
        <v>1</v>
      </c>
      <c r="AB41" s="29">
        <v>1</v>
      </c>
      <c r="AC41" s="29">
        <v>1</v>
      </c>
      <c r="AD41" s="29">
        <v>5</v>
      </c>
      <c r="AE41" s="29">
        <v>4</v>
      </c>
      <c r="AF41" s="29">
        <v>4</v>
      </c>
      <c r="AG41" s="30">
        <f t="shared" si="2"/>
        <v>0</v>
      </c>
    </row>
    <row r="42" spans="1:33" x14ac:dyDescent="0.25">
      <c r="A42" s="28" t="s">
        <v>33</v>
      </c>
      <c r="B42" s="29">
        <v>5</v>
      </c>
      <c r="C42" s="29">
        <v>1</v>
      </c>
      <c r="D42" s="29">
        <v>5</v>
      </c>
      <c r="E42" s="29">
        <v>1</v>
      </c>
      <c r="F42" s="29">
        <v>5</v>
      </c>
      <c r="G42" s="29">
        <v>1</v>
      </c>
      <c r="H42" s="29">
        <v>2</v>
      </c>
      <c r="I42" s="29">
        <v>2</v>
      </c>
      <c r="J42" s="29">
        <v>4</v>
      </c>
      <c r="K42" s="29">
        <v>1</v>
      </c>
      <c r="L42" s="29">
        <v>1</v>
      </c>
      <c r="M42" s="29">
        <v>0</v>
      </c>
      <c r="N42" s="29">
        <v>2</v>
      </c>
      <c r="O42" s="29">
        <v>0</v>
      </c>
      <c r="P42" s="29">
        <v>3</v>
      </c>
      <c r="Q42" s="29">
        <v>2</v>
      </c>
      <c r="R42" s="29">
        <v>0</v>
      </c>
      <c r="S42" s="29">
        <v>1</v>
      </c>
      <c r="T42" s="29">
        <v>5</v>
      </c>
      <c r="U42" s="29">
        <v>3</v>
      </c>
      <c r="V42" s="29">
        <v>0</v>
      </c>
      <c r="W42" s="29">
        <v>0</v>
      </c>
      <c r="X42" s="29">
        <v>4</v>
      </c>
      <c r="Y42" s="29">
        <v>1</v>
      </c>
      <c r="Z42" s="29">
        <v>0</v>
      </c>
      <c r="AA42" s="29">
        <v>2</v>
      </c>
      <c r="AB42" s="29">
        <v>1</v>
      </c>
      <c r="AC42" s="29">
        <v>2</v>
      </c>
      <c r="AD42" s="29">
        <v>2</v>
      </c>
      <c r="AE42" s="29">
        <v>2</v>
      </c>
      <c r="AF42" s="29">
        <v>0</v>
      </c>
      <c r="AG42" s="30">
        <f t="shared" si="2"/>
        <v>0</v>
      </c>
    </row>
    <row r="43" spans="1:33" x14ac:dyDescent="0.25">
      <c r="A43" s="28" t="s">
        <v>34</v>
      </c>
      <c r="B43" s="29">
        <v>5</v>
      </c>
      <c r="C43" s="29">
        <v>0</v>
      </c>
      <c r="D43" s="29">
        <v>1</v>
      </c>
      <c r="E43" s="29">
        <v>1</v>
      </c>
      <c r="F43" s="29">
        <v>3</v>
      </c>
      <c r="G43" s="29">
        <v>1</v>
      </c>
      <c r="H43" s="29">
        <v>5</v>
      </c>
      <c r="I43" s="29">
        <v>3</v>
      </c>
      <c r="J43" s="29">
        <v>5</v>
      </c>
      <c r="K43" s="29">
        <v>5</v>
      </c>
      <c r="L43" s="29">
        <v>4</v>
      </c>
      <c r="M43" s="29">
        <v>5</v>
      </c>
      <c r="N43" s="29">
        <v>3</v>
      </c>
      <c r="O43" s="29">
        <v>4</v>
      </c>
      <c r="P43" s="29">
        <v>2</v>
      </c>
      <c r="Q43" s="29">
        <v>0</v>
      </c>
      <c r="R43" s="29">
        <v>1</v>
      </c>
      <c r="S43" s="29">
        <v>1</v>
      </c>
      <c r="T43" s="29">
        <v>0</v>
      </c>
      <c r="U43" s="29">
        <v>4</v>
      </c>
      <c r="V43" s="29">
        <v>2</v>
      </c>
      <c r="W43" s="29">
        <v>0</v>
      </c>
      <c r="X43" s="29">
        <v>1</v>
      </c>
      <c r="Y43" s="29">
        <v>1</v>
      </c>
      <c r="Z43" s="29">
        <v>4</v>
      </c>
      <c r="AA43" s="29">
        <v>2</v>
      </c>
      <c r="AB43" s="29">
        <v>3</v>
      </c>
      <c r="AC43" s="29">
        <v>5</v>
      </c>
      <c r="AD43" s="29">
        <v>2</v>
      </c>
      <c r="AE43" s="29">
        <v>3</v>
      </c>
      <c r="AF43" s="29">
        <v>2</v>
      </c>
      <c r="AG43" s="30">
        <f t="shared" si="2"/>
        <v>0</v>
      </c>
    </row>
    <row r="44" spans="1:33" x14ac:dyDescent="0.25">
      <c r="A44" s="28" t="s">
        <v>35</v>
      </c>
      <c r="B44" s="29">
        <v>2</v>
      </c>
      <c r="C44" s="29">
        <v>4</v>
      </c>
      <c r="D44" s="29">
        <v>1</v>
      </c>
      <c r="E44" s="29">
        <v>0</v>
      </c>
      <c r="F44" s="29">
        <v>3</v>
      </c>
      <c r="G44" s="29">
        <v>5</v>
      </c>
      <c r="H44" s="29">
        <v>4</v>
      </c>
      <c r="I44" s="29">
        <v>2</v>
      </c>
      <c r="J44" s="29">
        <v>5</v>
      </c>
      <c r="K44" s="29">
        <v>0</v>
      </c>
      <c r="L44" s="29">
        <v>2</v>
      </c>
      <c r="M44" s="29">
        <v>5</v>
      </c>
      <c r="N44" s="29">
        <v>1</v>
      </c>
      <c r="O44" s="29">
        <v>3</v>
      </c>
      <c r="P44" s="29">
        <v>1</v>
      </c>
      <c r="Q44" s="29">
        <v>3</v>
      </c>
      <c r="R44" s="29">
        <v>3</v>
      </c>
      <c r="S44" s="29">
        <v>4</v>
      </c>
      <c r="T44" s="29">
        <v>4</v>
      </c>
      <c r="U44" s="29">
        <v>4</v>
      </c>
      <c r="V44" s="29">
        <v>4</v>
      </c>
      <c r="W44" s="29">
        <v>2</v>
      </c>
      <c r="X44" s="29">
        <v>3</v>
      </c>
      <c r="Y44" s="29">
        <v>1</v>
      </c>
      <c r="Z44" s="29">
        <v>3</v>
      </c>
      <c r="AA44" s="29">
        <v>0</v>
      </c>
      <c r="AB44" s="29">
        <v>3</v>
      </c>
      <c r="AC44" s="29">
        <v>1</v>
      </c>
      <c r="AD44" s="29">
        <v>1</v>
      </c>
      <c r="AE44" s="29">
        <v>4</v>
      </c>
      <c r="AF44" s="29">
        <v>5</v>
      </c>
      <c r="AG44" s="30">
        <f t="shared" si="2"/>
        <v>0</v>
      </c>
    </row>
    <row r="45" spans="1:33" s="37" customFormat="1" x14ac:dyDescent="0.25">
      <c r="A45" s="38" t="s">
        <v>36</v>
      </c>
      <c r="B45" s="39">
        <f>SUM(B36:B44)</f>
        <v>0</v>
      </c>
      <c r="C45" s="39">
        <f t="shared" ref="C45:AF45" si="3">SUM(C36:C44)</f>
        <v>0</v>
      </c>
      <c r="D45" s="39">
        <f t="shared" si="3"/>
        <v>0</v>
      </c>
      <c r="E45" s="39">
        <f t="shared" si="3"/>
        <v>0</v>
      </c>
      <c r="F45" s="39">
        <f t="shared" si="3"/>
        <v>0</v>
      </c>
      <c r="G45" s="39">
        <f t="shared" si="3"/>
        <v>0</v>
      </c>
      <c r="H45" s="39">
        <f t="shared" si="3"/>
        <v>0</v>
      </c>
      <c r="I45" s="39">
        <f t="shared" si="3"/>
        <v>0</v>
      </c>
      <c r="J45" s="39">
        <f t="shared" si="3"/>
        <v>0</v>
      </c>
      <c r="K45" s="39">
        <f t="shared" si="3"/>
        <v>0</v>
      </c>
      <c r="L45" s="39">
        <f t="shared" si="3"/>
        <v>0</v>
      </c>
      <c r="M45" s="39">
        <f t="shared" si="3"/>
        <v>0</v>
      </c>
      <c r="N45" s="39">
        <f t="shared" si="3"/>
        <v>0</v>
      </c>
      <c r="O45" s="39">
        <f t="shared" si="3"/>
        <v>0</v>
      </c>
      <c r="P45" s="39">
        <f t="shared" si="3"/>
        <v>0</v>
      </c>
      <c r="Q45" s="39">
        <f t="shared" si="3"/>
        <v>0</v>
      </c>
      <c r="R45" s="39">
        <f t="shared" si="3"/>
        <v>0</v>
      </c>
      <c r="S45" s="39">
        <f t="shared" si="3"/>
        <v>0</v>
      </c>
      <c r="T45" s="39">
        <f t="shared" si="3"/>
        <v>0</v>
      </c>
      <c r="U45" s="39">
        <f t="shared" si="3"/>
        <v>0</v>
      </c>
      <c r="V45" s="39">
        <f t="shared" si="3"/>
        <v>0</v>
      </c>
      <c r="W45" s="39">
        <f t="shared" si="3"/>
        <v>0</v>
      </c>
      <c r="X45" s="39">
        <f t="shared" si="3"/>
        <v>0</v>
      </c>
      <c r="Y45" s="39">
        <f t="shared" si="3"/>
        <v>0</v>
      </c>
      <c r="Z45" s="39">
        <f t="shared" si="3"/>
        <v>0</v>
      </c>
      <c r="AA45" s="39">
        <f t="shared" si="3"/>
        <v>0</v>
      </c>
      <c r="AB45" s="39">
        <f t="shared" si="3"/>
        <v>0</v>
      </c>
      <c r="AC45" s="39">
        <f t="shared" si="3"/>
        <v>0</v>
      </c>
      <c r="AD45" s="39">
        <f t="shared" si="3"/>
        <v>0</v>
      </c>
      <c r="AE45" s="39">
        <f t="shared" si="3"/>
        <v>0</v>
      </c>
      <c r="AF45" s="39">
        <f t="shared" si="3"/>
        <v>0</v>
      </c>
      <c r="AG45" s="40">
        <f t="shared" si="2"/>
        <v>0</v>
      </c>
    </row>
    <row r="46" spans="1:33" s="21" customFormat="1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5"/>
    </row>
    <row r="47" spans="1:33" s="42" customFormat="1" x14ac:dyDescent="0.25">
      <c r="A47" s="36" t="s">
        <v>37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27"/>
    </row>
    <row r="48" spans="1:33" x14ac:dyDescent="0.25">
      <c r="A48" s="28" t="s">
        <v>38</v>
      </c>
      <c r="B48" s="29">
        <v>4</v>
      </c>
      <c r="C48" s="29">
        <v>4</v>
      </c>
      <c r="D48" s="29">
        <v>0</v>
      </c>
      <c r="E48" s="29">
        <v>5</v>
      </c>
      <c r="F48" s="29">
        <v>2</v>
      </c>
      <c r="G48" s="29">
        <v>3</v>
      </c>
      <c r="H48" s="29">
        <v>4</v>
      </c>
      <c r="I48" s="29">
        <v>2</v>
      </c>
      <c r="J48" s="29">
        <v>2</v>
      </c>
      <c r="K48" s="29">
        <v>1</v>
      </c>
      <c r="L48" s="29">
        <v>3</v>
      </c>
      <c r="M48" s="29">
        <v>0</v>
      </c>
      <c r="N48" s="29">
        <v>2</v>
      </c>
      <c r="O48" s="29">
        <v>2</v>
      </c>
      <c r="P48" s="29">
        <v>1</v>
      </c>
      <c r="Q48" s="29">
        <v>4</v>
      </c>
      <c r="R48" s="29">
        <v>0</v>
      </c>
      <c r="S48" s="29">
        <v>3</v>
      </c>
      <c r="T48" s="29">
        <v>2</v>
      </c>
      <c r="U48" s="29">
        <v>3</v>
      </c>
      <c r="V48" s="29">
        <v>3</v>
      </c>
      <c r="W48" s="29">
        <v>5</v>
      </c>
      <c r="X48" s="29">
        <v>2</v>
      </c>
      <c r="Y48" s="29">
        <v>3</v>
      </c>
      <c r="Z48" s="29">
        <v>0</v>
      </c>
      <c r="AA48" s="29">
        <v>4</v>
      </c>
      <c r="AB48" s="29">
        <v>5</v>
      </c>
      <c r="AC48" s="29">
        <v>0</v>
      </c>
      <c r="AD48" s="29">
        <v>2</v>
      </c>
      <c r="AE48" s="29">
        <v>5</v>
      </c>
      <c r="AF48" s="29">
        <v>3</v>
      </c>
      <c r="AG48" s="30">
        <f t="shared" ref="AG48:AG53" si="4">SUM(B48:AF48)</f>
        <v>0</v>
      </c>
    </row>
    <row r="49" spans="1:33" x14ac:dyDescent="0.25">
      <c r="A49" s="28" t="s">
        <v>39</v>
      </c>
      <c r="B49" s="29">
        <v>1</v>
      </c>
      <c r="C49" s="29">
        <v>3</v>
      </c>
      <c r="D49" s="29">
        <v>0</v>
      </c>
      <c r="E49" s="29">
        <v>5</v>
      </c>
      <c r="F49" s="29">
        <v>1</v>
      </c>
      <c r="G49" s="29">
        <v>4</v>
      </c>
      <c r="H49" s="29">
        <v>0</v>
      </c>
      <c r="I49" s="29">
        <v>2</v>
      </c>
      <c r="J49" s="29">
        <v>2</v>
      </c>
      <c r="K49" s="29">
        <v>3</v>
      </c>
      <c r="L49" s="29">
        <v>3</v>
      </c>
      <c r="M49" s="29">
        <v>5</v>
      </c>
      <c r="N49" s="29">
        <v>2</v>
      </c>
      <c r="O49" s="29">
        <v>2</v>
      </c>
      <c r="P49" s="29">
        <v>2</v>
      </c>
      <c r="Q49" s="29">
        <v>4</v>
      </c>
      <c r="R49" s="29">
        <v>0</v>
      </c>
      <c r="S49" s="29">
        <v>3</v>
      </c>
      <c r="T49" s="29">
        <v>3</v>
      </c>
      <c r="U49" s="29">
        <v>0</v>
      </c>
      <c r="V49" s="29">
        <v>5</v>
      </c>
      <c r="W49" s="29">
        <v>4</v>
      </c>
      <c r="X49" s="29">
        <v>3</v>
      </c>
      <c r="Y49" s="29">
        <v>4</v>
      </c>
      <c r="Z49" s="29">
        <v>5</v>
      </c>
      <c r="AA49" s="29">
        <v>4</v>
      </c>
      <c r="AB49" s="29">
        <v>4</v>
      </c>
      <c r="AC49" s="29">
        <v>3</v>
      </c>
      <c r="AD49" s="29">
        <v>5</v>
      </c>
      <c r="AE49" s="29">
        <v>3</v>
      </c>
      <c r="AF49" s="29">
        <v>4</v>
      </c>
      <c r="AG49" s="30">
        <f t="shared" si="4"/>
        <v>0</v>
      </c>
    </row>
    <row r="50" spans="1:33" x14ac:dyDescent="0.25">
      <c r="A50" s="28" t="s">
        <v>40</v>
      </c>
      <c r="B50" s="29">
        <v>4</v>
      </c>
      <c r="C50" s="29">
        <v>3</v>
      </c>
      <c r="D50" s="29">
        <v>3</v>
      </c>
      <c r="E50" s="29">
        <v>4</v>
      </c>
      <c r="F50" s="29">
        <v>1</v>
      </c>
      <c r="G50" s="29">
        <v>3</v>
      </c>
      <c r="H50" s="29">
        <v>2</v>
      </c>
      <c r="I50" s="29">
        <v>5</v>
      </c>
      <c r="J50" s="29">
        <v>5</v>
      </c>
      <c r="K50" s="29">
        <v>3</v>
      </c>
      <c r="L50" s="29">
        <v>4</v>
      </c>
      <c r="M50" s="29">
        <v>4</v>
      </c>
      <c r="N50" s="29">
        <v>3</v>
      </c>
      <c r="O50" s="29">
        <v>1</v>
      </c>
      <c r="P50" s="29">
        <v>5</v>
      </c>
      <c r="Q50" s="29">
        <v>2</v>
      </c>
      <c r="R50" s="29">
        <v>3</v>
      </c>
      <c r="S50" s="29">
        <v>1</v>
      </c>
      <c r="T50" s="29">
        <v>2</v>
      </c>
      <c r="U50" s="29">
        <v>1</v>
      </c>
      <c r="V50" s="29">
        <v>4</v>
      </c>
      <c r="W50" s="29">
        <v>3</v>
      </c>
      <c r="X50" s="29">
        <v>3</v>
      </c>
      <c r="Y50" s="29">
        <v>3</v>
      </c>
      <c r="Z50" s="29">
        <v>1</v>
      </c>
      <c r="AA50" s="29">
        <v>1</v>
      </c>
      <c r="AB50" s="29">
        <v>5</v>
      </c>
      <c r="AC50" s="29">
        <v>5</v>
      </c>
      <c r="AD50" s="29">
        <v>2</v>
      </c>
      <c r="AE50" s="29">
        <v>0</v>
      </c>
      <c r="AF50" s="29">
        <v>4</v>
      </c>
      <c r="AG50" s="30">
        <f t="shared" si="4"/>
        <v>0</v>
      </c>
    </row>
    <row r="51" spans="1:33" x14ac:dyDescent="0.25">
      <c r="A51" s="28" t="s">
        <v>41</v>
      </c>
      <c r="B51" s="29">
        <v>3</v>
      </c>
      <c r="C51" s="29">
        <v>0</v>
      </c>
      <c r="D51" s="29">
        <v>4</v>
      </c>
      <c r="E51" s="29">
        <v>4</v>
      </c>
      <c r="F51" s="29">
        <v>3</v>
      </c>
      <c r="G51" s="29">
        <v>3</v>
      </c>
      <c r="H51" s="29">
        <v>5</v>
      </c>
      <c r="I51" s="29">
        <v>1</v>
      </c>
      <c r="J51" s="29">
        <v>0</v>
      </c>
      <c r="K51" s="29">
        <v>3</v>
      </c>
      <c r="L51" s="29">
        <v>5</v>
      </c>
      <c r="M51" s="29">
        <v>5</v>
      </c>
      <c r="N51" s="29">
        <v>2</v>
      </c>
      <c r="O51" s="29">
        <v>3</v>
      </c>
      <c r="P51" s="29">
        <v>5</v>
      </c>
      <c r="Q51" s="29">
        <v>1</v>
      </c>
      <c r="R51" s="29">
        <v>5</v>
      </c>
      <c r="S51" s="29">
        <v>3</v>
      </c>
      <c r="T51" s="29">
        <v>0</v>
      </c>
      <c r="U51" s="29">
        <v>1</v>
      </c>
      <c r="V51" s="29">
        <v>3</v>
      </c>
      <c r="W51" s="29">
        <v>5</v>
      </c>
      <c r="X51" s="29">
        <v>0</v>
      </c>
      <c r="Y51" s="29">
        <v>2</v>
      </c>
      <c r="Z51" s="29">
        <v>4</v>
      </c>
      <c r="AA51" s="29">
        <v>2</v>
      </c>
      <c r="AB51" s="29">
        <v>3</v>
      </c>
      <c r="AC51" s="29">
        <v>2</v>
      </c>
      <c r="AD51" s="29">
        <v>1</v>
      </c>
      <c r="AE51" s="29">
        <v>4</v>
      </c>
      <c r="AF51" s="29">
        <v>5</v>
      </c>
      <c r="AG51" s="30">
        <f t="shared" si="4"/>
        <v>0</v>
      </c>
    </row>
    <row r="52" spans="1:33" x14ac:dyDescent="0.25">
      <c r="A52" s="28" t="s">
        <v>42</v>
      </c>
      <c r="B52" s="29">
        <v>0</v>
      </c>
      <c r="C52" s="29">
        <v>4</v>
      </c>
      <c r="D52" s="29">
        <v>1</v>
      </c>
      <c r="E52" s="29">
        <v>2</v>
      </c>
      <c r="F52" s="29">
        <v>0</v>
      </c>
      <c r="G52" s="29">
        <v>5</v>
      </c>
      <c r="H52" s="29">
        <v>2</v>
      </c>
      <c r="I52" s="29">
        <v>4</v>
      </c>
      <c r="J52" s="29">
        <v>1</v>
      </c>
      <c r="K52" s="29">
        <v>5</v>
      </c>
      <c r="L52" s="29">
        <v>0</v>
      </c>
      <c r="M52" s="29">
        <v>1</v>
      </c>
      <c r="N52" s="29">
        <v>4</v>
      </c>
      <c r="O52" s="29">
        <v>2</v>
      </c>
      <c r="P52" s="29">
        <v>5</v>
      </c>
      <c r="Q52" s="29">
        <v>3</v>
      </c>
      <c r="R52" s="29">
        <v>3</v>
      </c>
      <c r="S52" s="29">
        <v>5</v>
      </c>
      <c r="T52" s="29">
        <v>1</v>
      </c>
      <c r="U52" s="29">
        <v>2</v>
      </c>
      <c r="V52" s="29">
        <v>2</v>
      </c>
      <c r="W52" s="29">
        <v>5</v>
      </c>
      <c r="X52" s="29">
        <v>0</v>
      </c>
      <c r="Y52" s="29">
        <v>5</v>
      </c>
      <c r="Z52" s="29">
        <v>1</v>
      </c>
      <c r="AA52" s="29">
        <v>3</v>
      </c>
      <c r="AB52" s="29">
        <v>4</v>
      </c>
      <c r="AC52" s="29">
        <v>2</v>
      </c>
      <c r="AD52" s="29">
        <v>5</v>
      </c>
      <c r="AE52" s="29">
        <v>3</v>
      </c>
      <c r="AF52" s="29">
        <v>1</v>
      </c>
      <c r="AG52" s="30">
        <f t="shared" si="4"/>
        <v>0</v>
      </c>
    </row>
    <row r="53" spans="1:33" s="37" customFormat="1" x14ac:dyDescent="0.25">
      <c r="A53" s="38" t="s">
        <v>43</v>
      </c>
      <c r="B53" s="39">
        <f>SUM(B48:B52)</f>
        <v>0</v>
      </c>
      <c r="C53" s="39">
        <f t="shared" ref="C53:AF53" si="5">SUM(C48:C52)</f>
        <v>0</v>
      </c>
      <c r="D53" s="39">
        <f t="shared" si="5"/>
        <v>0</v>
      </c>
      <c r="E53" s="39">
        <f t="shared" si="5"/>
        <v>0</v>
      </c>
      <c r="F53" s="39">
        <f t="shared" si="5"/>
        <v>0</v>
      </c>
      <c r="G53" s="39">
        <f t="shared" si="5"/>
        <v>0</v>
      </c>
      <c r="H53" s="39">
        <f t="shared" si="5"/>
        <v>0</v>
      </c>
      <c r="I53" s="39">
        <f t="shared" si="5"/>
        <v>0</v>
      </c>
      <c r="J53" s="39">
        <f t="shared" si="5"/>
        <v>0</v>
      </c>
      <c r="K53" s="39">
        <f t="shared" si="5"/>
        <v>0</v>
      </c>
      <c r="L53" s="39">
        <f t="shared" si="5"/>
        <v>0</v>
      </c>
      <c r="M53" s="39">
        <f t="shared" si="5"/>
        <v>0</v>
      </c>
      <c r="N53" s="39">
        <f t="shared" si="5"/>
        <v>0</v>
      </c>
      <c r="O53" s="39">
        <f t="shared" si="5"/>
        <v>0</v>
      </c>
      <c r="P53" s="39">
        <f t="shared" si="5"/>
        <v>0</v>
      </c>
      <c r="Q53" s="39">
        <f t="shared" si="5"/>
        <v>0</v>
      </c>
      <c r="R53" s="39">
        <f t="shared" si="5"/>
        <v>0</v>
      </c>
      <c r="S53" s="39">
        <f t="shared" si="5"/>
        <v>0</v>
      </c>
      <c r="T53" s="39">
        <f t="shared" si="5"/>
        <v>0</v>
      </c>
      <c r="U53" s="39">
        <f t="shared" si="5"/>
        <v>0</v>
      </c>
      <c r="V53" s="39">
        <f t="shared" si="5"/>
        <v>0</v>
      </c>
      <c r="W53" s="39">
        <f t="shared" si="5"/>
        <v>0</v>
      </c>
      <c r="X53" s="39">
        <f t="shared" si="5"/>
        <v>0</v>
      </c>
      <c r="Y53" s="39">
        <f t="shared" si="5"/>
        <v>0</v>
      </c>
      <c r="Z53" s="39">
        <f t="shared" si="5"/>
        <v>0</v>
      </c>
      <c r="AA53" s="39">
        <f t="shared" si="5"/>
        <v>0</v>
      </c>
      <c r="AB53" s="39">
        <f t="shared" si="5"/>
        <v>0</v>
      </c>
      <c r="AC53" s="39">
        <f t="shared" si="5"/>
        <v>0</v>
      </c>
      <c r="AD53" s="39">
        <f t="shared" si="5"/>
        <v>0</v>
      </c>
      <c r="AE53" s="39">
        <f t="shared" si="5"/>
        <v>0</v>
      </c>
      <c r="AF53" s="39">
        <f t="shared" si="5"/>
        <v>0</v>
      </c>
      <c r="AG53" s="40">
        <f t="shared" si="4"/>
        <v>0</v>
      </c>
    </row>
    <row r="54" spans="1:33" s="21" customForma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5"/>
    </row>
    <row r="55" spans="1:33" s="25" customFormat="1" x14ac:dyDescent="0.25">
      <c r="A55" s="36" t="s">
        <v>44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27"/>
    </row>
    <row r="56" spans="1:33" x14ac:dyDescent="0.25">
      <c r="A56" s="28" t="s">
        <v>45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0">
        <f t="shared" ref="AG56:AG62" si="6">SUM(B56:AF56)</f>
        <v>0</v>
      </c>
    </row>
    <row r="57" spans="1:33" x14ac:dyDescent="0.25">
      <c r="A57" s="28" t="s">
        <v>46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30">
        <f t="shared" si="6"/>
        <v>0</v>
      </c>
    </row>
    <row r="58" spans="1:33" x14ac:dyDescent="0.25">
      <c r="A58" s="28" t="s">
        <v>47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30">
        <f t="shared" si="6"/>
        <v>0</v>
      </c>
    </row>
    <row r="59" spans="1:33" x14ac:dyDescent="0.25">
      <c r="A59" s="28" t="s">
        <v>48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30">
        <f t="shared" si="6"/>
        <v>0</v>
      </c>
    </row>
    <row r="60" spans="1:33" x14ac:dyDescent="0.25">
      <c r="A60" s="28" t="s">
        <v>49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>
        <f t="shared" si="6"/>
        <v>0</v>
      </c>
    </row>
    <row r="61" spans="1:33" x14ac:dyDescent="0.25">
      <c r="A61" s="28" t="s">
        <v>50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0">
        <f t="shared" si="6"/>
        <v>0</v>
      </c>
    </row>
    <row r="62" spans="1:33" s="37" customFormat="1" x14ac:dyDescent="0.25">
      <c r="A62" s="38" t="s">
        <v>36</v>
      </c>
      <c r="B62" s="39">
        <f>SUM(B56:B61)</f>
        <v>0</v>
      </c>
      <c r="C62" s="39">
        <f t="shared" ref="C62:AF62" si="7">SUM(C56:C61)</f>
        <v>0</v>
      </c>
      <c r="D62" s="39">
        <f t="shared" si="7"/>
        <v>0</v>
      </c>
      <c r="E62" s="39">
        <f t="shared" si="7"/>
        <v>0</v>
      </c>
      <c r="F62" s="39">
        <f t="shared" si="7"/>
        <v>0</v>
      </c>
      <c r="G62" s="39">
        <f t="shared" si="7"/>
        <v>0</v>
      </c>
      <c r="H62" s="39">
        <f t="shared" si="7"/>
        <v>0</v>
      </c>
      <c r="I62" s="39">
        <f t="shared" si="7"/>
        <v>0</v>
      </c>
      <c r="J62" s="39">
        <f t="shared" si="7"/>
        <v>0</v>
      </c>
      <c r="K62" s="39">
        <f t="shared" si="7"/>
        <v>0</v>
      </c>
      <c r="L62" s="39">
        <f t="shared" si="7"/>
        <v>0</v>
      </c>
      <c r="M62" s="39">
        <f t="shared" si="7"/>
        <v>0</v>
      </c>
      <c r="N62" s="39">
        <f t="shared" si="7"/>
        <v>0</v>
      </c>
      <c r="O62" s="39">
        <f t="shared" si="7"/>
        <v>0</v>
      </c>
      <c r="P62" s="39">
        <f t="shared" si="7"/>
        <v>0</v>
      </c>
      <c r="Q62" s="39">
        <f t="shared" si="7"/>
        <v>0</v>
      </c>
      <c r="R62" s="39">
        <f t="shared" si="7"/>
        <v>0</v>
      </c>
      <c r="S62" s="39">
        <f t="shared" si="7"/>
        <v>0</v>
      </c>
      <c r="T62" s="39">
        <f t="shared" si="7"/>
        <v>0</v>
      </c>
      <c r="U62" s="39">
        <f t="shared" si="7"/>
        <v>0</v>
      </c>
      <c r="V62" s="39">
        <f t="shared" si="7"/>
        <v>0</v>
      </c>
      <c r="W62" s="39">
        <f t="shared" si="7"/>
        <v>0</v>
      </c>
      <c r="X62" s="39">
        <f t="shared" si="7"/>
        <v>0</v>
      </c>
      <c r="Y62" s="39">
        <f t="shared" si="7"/>
        <v>0</v>
      </c>
      <c r="Z62" s="39">
        <f t="shared" si="7"/>
        <v>0</v>
      </c>
      <c r="AA62" s="39">
        <f t="shared" si="7"/>
        <v>0</v>
      </c>
      <c r="AB62" s="39">
        <f t="shared" si="7"/>
        <v>0</v>
      </c>
      <c r="AC62" s="39">
        <f t="shared" si="7"/>
        <v>0</v>
      </c>
      <c r="AD62" s="39">
        <f t="shared" si="7"/>
        <v>0</v>
      </c>
      <c r="AE62" s="39">
        <f t="shared" si="7"/>
        <v>0</v>
      </c>
      <c r="AF62" s="39">
        <f t="shared" si="7"/>
        <v>0</v>
      </c>
      <c r="AG62" s="40">
        <f t="shared" si="6"/>
        <v>0</v>
      </c>
    </row>
    <row r="63" spans="1:33" s="21" customFormat="1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5"/>
    </row>
    <row r="64" ht="13.8" customHeight="1" spans="1:33" s="21" customFormat="1" x14ac:dyDescent="0.25">
      <c r="A64" s="18" t="s">
        <v>17</v>
      </c>
      <c r="B64" s="19">
        <v>1</v>
      </c>
      <c r="C64" s="19">
        <v>2</v>
      </c>
      <c r="D64" s="19">
        <v>3</v>
      </c>
      <c r="E64" s="19">
        <v>4</v>
      </c>
      <c r="F64" s="19">
        <v>5</v>
      </c>
      <c r="G64" s="19">
        <v>6</v>
      </c>
      <c r="H64" s="19">
        <v>7</v>
      </c>
      <c r="I64" s="19">
        <v>8</v>
      </c>
      <c r="J64" s="19">
        <v>9</v>
      </c>
      <c r="K64" s="19">
        <v>10</v>
      </c>
      <c r="L64" s="19">
        <v>11</v>
      </c>
      <c r="M64" s="19">
        <v>12</v>
      </c>
      <c r="N64" s="19">
        <v>13</v>
      </c>
      <c r="O64" s="19">
        <v>14</v>
      </c>
      <c r="P64" s="19">
        <v>15</v>
      </c>
      <c r="Q64" s="19">
        <v>16</v>
      </c>
      <c r="R64" s="19">
        <v>17</v>
      </c>
      <c r="S64" s="19">
        <v>18</v>
      </c>
      <c r="T64" s="19">
        <v>19</v>
      </c>
      <c r="U64" s="19">
        <v>20</v>
      </c>
      <c r="V64" s="19">
        <v>21</v>
      </c>
      <c r="W64" s="19">
        <v>22</v>
      </c>
      <c r="X64" s="19">
        <v>23</v>
      </c>
      <c r="Y64" s="19">
        <v>24</v>
      </c>
      <c r="Z64" s="19">
        <v>25</v>
      </c>
      <c r="AA64" s="19">
        <v>26</v>
      </c>
      <c r="AB64" s="19">
        <v>27</v>
      </c>
      <c r="AC64" s="19">
        <v>28</v>
      </c>
      <c r="AD64" s="19">
        <v>29</v>
      </c>
      <c r="AE64" s="19">
        <v>30</v>
      </c>
      <c r="AF64" s="19">
        <v>31</v>
      </c>
      <c r="AG64" s="20" t="s">
        <v>18</v>
      </c>
    </row>
    <row r="65" spans="1:33" s="25" customFormat="1" x14ac:dyDescent="0.25">
      <c r="A65" s="36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27"/>
    </row>
    <row r="66" spans="1:33" x14ac:dyDescent="0.25">
      <c r="A66" s="28" t="s">
        <v>52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30">
        <f t="shared" ref="AG66:AG73" si="8">SUM(B66:AF66)</f>
        <v>0</v>
      </c>
    </row>
    <row r="67" spans="1:33" x14ac:dyDescent="0.25">
      <c r="A67" s="28" t="s">
        <v>53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30">
        <f t="shared" si="8"/>
        <v>0</v>
      </c>
    </row>
    <row r="68" spans="1:33" x14ac:dyDescent="0.25">
      <c r="A68" s="28" t="s">
        <v>54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30">
        <f t="shared" si="8"/>
        <v>0</v>
      </c>
    </row>
    <row r="69" spans="1:33" x14ac:dyDescent="0.25">
      <c r="A69" s="28" t="s">
        <v>55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30">
        <f t="shared" si="8"/>
        <v>0</v>
      </c>
    </row>
    <row r="70" spans="1:33" x14ac:dyDescent="0.25">
      <c r="A70" s="28" t="s">
        <v>56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30">
        <f t="shared" si="8"/>
        <v>0</v>
      </c>
    </row>
    <row r="71" spans="1:33" x14ac:dyDescent="0.25">
      <c r="A71" s="28" t="s">
        <v>57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30">
        <f t="shared" si="8"/>
        <v>0</v>
      </c>
    </row>
    <row r="72" spans="1:33" x14ac:dyDescent="0.25">
      <c r="A72" s="28" t="s">
        <v>58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0">
        <f t="shared" si="8"/>
        <v>0</v>
      </c>
    </row>
    <row r="73" spans="1:33" s="37" customFormat="1" x14ac:dyDescent="0.25">
      <c r="A73" s="38" t="s">
        <v>36</v>
      </c>
      <c r="B73" s="39">
        <f>SUM(B66:B72)</f>
        <v>0</v>
      </c>
      <c r="C73" s="39">
        <f t="shared" ref="C73:AF73" si="9">SUM(C66:C72)</f>
        <v>0</v>
      </c>
      <c r="D73" s="39">
        <f t="shared" si="9"/>
        <v>0</v>
      </c>
      <c r="E73" s="39">
        <f t="shared" si="9"/>
        <v>0</v>
      </c>
      <c r="F73" s="39">
        <f t="shared" si="9"/>
        <v>0</v>
      </c>
      <c r="G73" s="39">
        <f t="shared" si="9"/>
        <v>0</v>
      </c>
      <c r="H73" s="39">
        <f t="shared" si="9"/>
        <v>0</v>
      </c>
      <c r="I73" s="39">
        <f t="shared" si="9"/>
        <v>0</v>
      </c>
      <c r="J73" s="39">
        <f t="shared" si="9"/>
        <v>0</v>
      </c>
      <c r="K73" s="39">
        <f t="shared" si="9"/>
        <v>0</v>
      </c>
      <c r="L73" s="39">
        <f t="shared" si="9"/>
        <v>0</v>
      </c>
      <c r="M73" s="39">
        <f t="shared" si="9"/>
        <v>0</v>
      </c>
      <c r="N73" s="39">
        <f t="shared" si="9"/>
        <v>0</v>
      </c>
      <c r="O73" s="39">
        <f t="shared" si="9"/>
        <v>0</v>
      </c>
      <c r="P73" s="39">
        <f t="shared" si="9"/>
        <v>0</v>
      </c>
      <c r="Q73" s="39">
        <f t="shared" si="9"/>
        <v>0</v>
      </c>
      <c r="R73" s="39">
        <f t="shared" si="9"/>
        <v>0</v>
      </c>
      <c r="S73" s="39">
        <f t="shared" si="9"/>
        <v>0</v>
      </c>
      <c r="T73" s="39">
        <f t="shared" si="9"/>
        <v>0</v>
      </c>
      <c r="U73" s="39">
        <f t="shared" si="9"/>
        <v>0</v>
      </c>
      <c r="V73" s="39">
        <f t="shared" si="9"/>
        <v>0</v>
      </c>
      <c r="W73" s="39">
        <f t="shared" si="9"/>
        <v>0</v>
      </c>
      <c r="X73" s="39">
        <f t="shared" si="9"/>
        <v>0</v>
      </c>
      <c r="Y73" s="39">
        <f t="shared" si="9"/>
        <v>0</v>
      </c>
      <c r="Z73" s="39">
        <f t="shared" si="9"/>
        <v>0</v>
      </c>
      <c r="AA73" s="39">
        <f t="shared" si="9"/>
        <v>0</v>
      </c>
      <c r="AB73" s="39">
        <f t="shared" si="9"/>
        <v>0</v>
      </c>
      <c r="AC73" s="39">
        <f t="shared" si="9"/>
        <v>0</v>
      </c>
      <c r="AD73" s="39">
        <f t="shared" si="9"/>
        <v>0</v>
      </c>
      <c r="AE73" s="39">
        <f t="shared" si="9"/>
        <v>0</v>
      </c>
      <c r="AF73" s="39">
        <f t="shared" si="9"/>
        <v>0</v>
      </c>
      <c r="AG73" s="40">
        <f t="shared" si="8"/>
        <v>0</v>
      </c>
    </row>
    <row r="74" spans="1:33" s="21" customFormat="1" x14ac:dyDescent="0.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35"/>
    </row>
    <row r="75" spans="1:33" s="25" customFormat="1" x14ac:dyDescent="0.25">
      <c r="A75" s="26" t="s">
        <v>59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7"/>
    </row>
    <row r="76" spans="1:33" s="25" customFormat="1" x14ac:dyDescent="0.25">
      <c r="A76" s="36" t="s">
        <v>60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27"/>
    </row>
    <row r="77" spans="1:33" x14ac:dyDescent="0.25">
      <c r="A77" s="28" t="s">
        <v>61</v>
      </c>
      <c r="B77" s="29">
        <v>2</v>
      </c>
      <c r="C77" s="29">
        <v>2</v>
      </c>
      <c r="D77" s="29">
        <v>2</v>
      </c>
      <c r="E77" s="29">
        <v>5</v>
      </c>
      <c r="F77" s="29">
        <v>3</v>
      </c>
      <c r="G77" s="29">
        <v>0</v>
      </c>
      <c r="H77" s="29">
        <v>1</v>
      </c>
      <c r="I77" s="29">
        <v>5</v>
      </c>
      <c r="J77" s="29">
        <v>5</v>
      </c>
      <c r="K77" s="29">
        <v>3</v>
      </c>
      <c r="L77" s="29">
        <v>0</v>
      </c>
      <c r="M77" s="29">
        <v>1</v>
      </c>
      <c r="N77" s="29">
        <v>1</v>
      </c>
      <c r="O77" s="29">
        <v>1</v>
      </c>
      <c r="P77" s="29">
        <v>3</v>
      </c>
      <c r="Q77" s="29">
        <v>1</v>
      </c>
      <c r="R77" s="29">
        <v>4</v>
      </c>
      <c r="S77" s="29">
        <v>0</v>
      </c>
      <c r="T77" s="29">
        <v>2</v>
      </c>
      <c r="U77" s="29">
        <v>4</v>
      </c>
      <c r="V77" s="29">
        <v>1</v>
      </c>
      <c r="W77" s="29">
        <v>3</v>
      </c>
      <c r="X77" s="29">
        <v>5</v>
      </c>
      <c r="Y77" s="29">
        <v>0</v>
      </c>
      <c r="Z77" s="29">
        <v>3</v>
      </c>
      <c r="AA77" s="29">
        <v>4</v>
      </c>
      <c r="AB77" s="29">
        <v>0</v>
      </c>
      <c r="AC77" s="29">
        <v>5</v>
      </c>
      <c r="AD77" s="29">
        <v>2</v>
      </c>
      <c r="AE77" s="29">
        <v>0</v>
      </c>
      <c r="AF77" s="29">
        <v>3</v>
      </c>
      <c r="AG77" s="30">
        <f t="shared" ref="AG77:AG80" si="10">SUM(B77:AF77)</f>
        <v>0</v>
      </c>
    </row>
    <row r="78" spans="1:33" x14ac:dyDescent="0.25">
      <c r="A78" s="28" t="s">
        <v>62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0">
        <f t="shared" si="10"/>
        <v>0</v>
      </c>
    </row>
    <row r="79" spans="1:33" x14ac:dyDescent="0.25">
      <c r="A79" s="28" t="s">
        <v>63</v>
      </c>
      <c r="B79" s="29">
        <v>1</v>
      </c>
      <c r="C79" s="29">
        <v>2</v>
      </c>
      <c r="D79" s="29">
        <v>1</v>
      </c>
      <c r="E79" s="29">
        <v>0</v>
      </c>
      <c r="F79" s="29">
        <v>1</v>
      </c>
      <c r="G79" s="29">
        <v>0</v>
      </c>
      <c r="H79" s="29">
        <v>5</v>
      </c>
      <c r="I79" s="29">
        <v>4</v>
      </c>
      <c r="J79" s="29">
        <v>2</v>
      </c>
      <c r="K79" s="29">
        <v>0</v>
      </c>
      <c r="L79" s="29">
        <v>0</v>
      </c>
      <c r="M79" s="29">
        <v>4</v>
      </c>
      <c r="N79" s="29">
        <v>5</v>
      </c>
      <c r="O79" s="29">
        <v>4</v>
      </c>
      <c r="P79" s="29">
        <v>5</v>
      </c>
      <c r="Q79" s="29">
        <v>2</v>
      </c>
      <c r="R79" s="29">
        <v>3</v>
      </c>
      <c r="S79" s="29">
        <v>1</v>
      </c>
      <c r="T79" s="29">
        <v>3</v>
      </c>
      <c r="U79" s="29">
        <v>1</v>
      </c>
      <c r="V79" s="29">
        <v>1</v>
      </c>
      <c r="W79" s="29">
        <v>5</v>
      </c>
      <c r="X79" s="29">
        <v>1</v>
      </c>
      <c r="Y79" s="29">
        <v>4</v>
      </c>
      <c r="Z79" s="29">
        <v>2</v>
      </c>
      <c r="AA79" s="29">
        <v>5</v>
      </c>
      <c r="AB79" s="29">
        <v>2</v>
      </c>
      <c r="AC79" s="29">
        <v>3</v>
      </c>
      <c r="AD79" s="29">
        <v>2</v>
      </c>
      <c r="AE79" s="29">
        <v>5</v>
      </c>
      <c r="AF79" s="29">
        <v>2</v>
      </c>
      <c r="AG79" s="30">
        <f t="shared" si="10"/>
        <v>0</v>
      </c>
    </row>
    <row r="80" spans="1:33" s="37" customFormat="1" x14ac:dyDescent="0.25">
      <c r="A80" s="38" t="s">
        <v>36</v>
      </c>
      <c r="B80" s="39">
        <f>SUM(B77:B79)</f>
        <v>0</v>
      </c>
      <c r="C80" s="39">
        <f t="shared" ref="C80:AF80" si="11">SUM(C77:C79)</f>
        <v>0</v>
      </c>
      <c r="D80" s="39">
        <f t="shared" si="11"/>
        <v>0</v>
      </c>
      <c r="E80" s="39">
        <f t="shared" si="11"/>
        <v>0</v>
      </c>
      <c r="F80" s="39">
        <f t="shared" si="11"/>
        <v>0</v>
      </c>
      <c r="G80" s="39">
        <f t="shared" si="11"/>
        <v>0</v>
      </c>
      <c r="H80" s="39">
        <f t="shared" si="11"/>
        <v>0</v>
      </c>
      <c r="I80" s="39">
        <f t="shared" si="11"/>
        <v>0</v>
      </c>
      <c r="J80" s="39">
        <f t="shared" si="11"/>
        <v>0</v>
      </c>
      <c r="K80" s="39">
        <f t="shared" si="11"/>
        <v>0</v>
      </c>
      <c r="L80" s="39">
        <f t="shared" si="11"/>
        <v>0</v>
      </c>
      <c r="M80" s="39">
        <f t="shared" si="11"/>
        <v>0</v>
      </c>
      <c r="N80" s="39">
        <f t="shared" si="11"/>
        <v>0</v>
      </c>
      <c r="O80" s="39">
        <f t="shared" si="11"/>
        <v>0</v>
      </c>
      <c r="P80" s="39">
        <f t="shared" si="11"/>
        <v>0</v>
      </c>
      <c r="Q80" s="39">
        <f t="shared" si="11"/>
        <v>0</v>
      </c>
      <c r="R80" s="39">
        <f t="shared" si="11"/>
        <v>0</v>
      </c>
      <c r="S80" s="39">
        <f t="shared" si="11"/>
        <v>0</v>
      </c>
      <c r="T80" s="39">
        <f t="shared" si="11"/>
        <v>0</v>
      </c>
      <c r="U80" s="39">
        <f t="shared" si="11"/>
        <v>0</v>
      </c>
      <c r="V80" s="39">
        <f t="shared" si="11"/>
        <v>0</v>
      </c>
      <c r="W80" s="39">
        <f t="shared" si="11"/>
        <v>0</v>
      </c>
      <c r="X80" s="39">
        <f t="shared" si="11"/>
        <v>0</v>
      </c>
      <c r="Y80" s="39">
        <f t="shared" si="11"/>
        <v>0</v>
      </c>
      <c r="Z80" s="39">
        <f t="shared" si="11"/>
        <v>0</v>
      </c>
      <c r="AA80" s="39">
        <f t="shared" si="11"/>
        <v>0</v>
      </c>
      <c r="AB80" s="39">
        <f t="shared" si="11"/>
        <v>0</v>
      </c>
      <c r="AC80" s="39">
        <f t="shared" si="11"/>
        <v>0</v>
      </c>
      <c r="AD80" s="39">
        <f t="shared" si="11"/>
        <v>0</v>
      </c>
      <c r="AE80" s="39">
        <f t="shared" si="11"/>
        <v>0</v>
      </c>
      <c r="AF80" s="39">
        <f t="shared" si="11"/>
        <v>0</v>
      </c>
      <c r="AG80" s="40">
        <f t="shared" si="10"/>
        <v>0</v>
      </c>
    </row>
    <row r="81" spans="1:33" s="21" customFormat="1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35"/>
    </row>
    <row r="82" spans="1:33" s="25" customFormat="1" x14ac:dyDescent="0.25">
      <c r="A82" s="36" t="s">
        <v>64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27"/>
    </row>
    <row r="83" spans="1:33" x14ac:dyDescent="0.25">
      <c r="A83" s="28" t="s">
        <v>65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30">
        <f t="shared" ref="AG83:AG88" si="12">SUM(B83:AF83)</f>
        <v>0</v>
      </c>
    </row>
    <row r="84" spans="1:33" x14ac:dyDescent="0.25">
      <c r="A84" s="28" t="s">
        <v>66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0">
        <f t="shared" si="12"/>
        <v>0</v>
      </c>
    </row>
    <row r="85" spans="1:33" x14ac:dyDescent="0.25">
      <c r="A85" s="28" t="s">
        <v>67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0">
        <f t="shared" si="12"/>
        <v>0</v>
      </c>
    </row>
    <row r="86" spans="1:33" x14ac:dyDescent="0.25">
      <c r="A86" s="28" t="s">
        <v>68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0">
        <f t="shared" si="12"/>
        <v>0</v>
      </c>
    </row>
    <row r="87" spans="1:33" x14ac:dyDescent="0.25">
      <c r="A87" s="28" t="s">
        <v>69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0">
        <f t="shared" si="12"/>
        <v>0</v>
      </c>
    </row>
    <row r="88" spans="1:33" s="37" customFormat="1" x14ac:dyDescent="0.25">
      <c r="A88" s="38" t="s">
        <v>43</v>
      </c>
      <c r="B88" s="39">
        <f>SUM(B83:B87)</f>
        <v>0</v>
      </c>
      <c r="C88" s="39">
        <f t="shared" ref="C88:AF88" si="13">SUM(C83:C87)</f>
        <v>0</v>
      </c>
      <c r="D88" s="39">
        <f t="shared" si="13"/>
        <v>0</v>
      </c>
      <c r="E88" s="39">
        <f t="shared" si="13"/>
        <v>0</v>
      </c>
      <c r="F88" s="39">
        <f t="shared" si="13"/>
        <v>0</v>
      </c>
      <c r="G88" s="39">
        <f t="shared" si="13"/>
        <v>0</v>
      </c>
      <c r="H88" s="39">
        <f t="shared" si="13"/>
        <v>0</v>
      </c>
      <c r="I88" s="39">
        <f t="shared" si="13"/>
        <v>0</v>
      </c>
      <c r="J88" s="39">
        <f t="shared" si="13"/>
        <v>0</v>
      </c>
      <c r="K88" s="39">
        <f t="shared" si="13"/>
        <v>0</v>
      </c>
      <c r="L88" s="39">
        <f t="shared" si="13"/>
        <v>0</v>
      </c>
      <c r="M88" s="39">
        <f t="shared" si="13"/>
        <v>0</v>
      </c>
      <c r="N88" s="39">
        <f t="shared" si="13"/>
        <v>0</v>
      </c>
      <c r="O88" s="39">
        <f t="shared" si="13"/>
        <v>0</v>
      </c>
      <c r="P88" s="39">
        <f t="shared" si="13"/>
        <v>0</v>
      </c>
      <c r="Q88" s="39">
        <f t="shared" si="13"/>
        <v>0</v>
      </c>
      <c r="R88" s="39">
        <f t="shared" si="13"/>
        <v>0</v>
      </c>
      <c r="S88" s="39">
        <f t="shared" si="13"/>
        <v>0</v>
      </c>
      <c r="T88" s="39">
        <f t="shared" si="13"/>
        <v>0</v>
      </c>
      <c r="U88" s="39">
        <f t="shared" si="13"/>
        <v>0</v>
      </c>
      <c r="V88" s="39">
        <f t="shared" si="13"/>
        <v>0</v>
      </c>
      <c r="W88" s="39">
        <f t="shared" si="13"/>
        <v>0</v>
      </c>
      <c r="X88" s="39">
        <f t="shared" si="13"/>
        <v>0</v>
      </c>
      <c r="Y88" s="39">
        <f t="shared" si="13"/>
        <v>0</v>
      </c>
      <c r="Z88" s="39">
        <f t="shared" si="13"/>
        <v>0</v>
      </c>
      <c r="AA88" s="39">
        <f t="shared" si="13"/>
        <v>0</v>
      </c>
      <c r="AB88" s="39">
        <f t="shared" si="13"/>
        <v>0</v>
      </c>
      <c r="AC88" s="39">
        <f t="shared" si="13"/>
        <v>0</v>
      </c>
      <c r="AD88" s="39">
        <f t="shared" si="13"/>
        <v>0</v>
      </c>
      <c r="AE88" s="39">
        <f t="shared" si="13"/>
        <v>0</v>
      </c>
      <c r="AF88" s="39">
        <f t="shared" si="13"/>
        <v>0</v>
      </c>
      <c r="AG88" s="40">
        <f t="shared" si="12"/>
        <v>0</v>
      </c>
    </row>
    <row r="89" spans="1:33" s="21" customFormat="1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35"/>
    </row>
    <row r="90" spans="1:33" s="25" customFormat="1" x14ac:dyDescent="0.25">
      <c r="A90" s="26" t="s">
        <v>70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7"/>
    </row>
    <row r="91" spans="1:33" s="25" customFormat="1" x14ac:dyDescent="0.25">
      <c r="A91" s="36" t="s">
        <v>71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27"/>
    </row>
    <row r="92" spans="1:33" x14ac:dyDescent="0.25">
      <c r="A92" s="28" t="s">
        <v>72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30">
        <f t="shared" ref="AG92:AG99" si="14">SUM(B92:AF92)</f>
        <v>0</v>
      </c>
    </row>
    <row r="93" spans="1:33" x14ac:dyDescent="0.25">
      <c r="A93" s="28" t="s">
        <v>73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30">
        <f t="shared" si="14"/>
        <v>0</v>
      </c>
    </row>
    <row r="94" spans="1:33" x14ac:dyDescent="0.25">
      <c r="A94" s="28" t="s">
        <v>74</v>
      </c>
      <c r="B94" s="29">
        <v>5</v>
      </c>
      <c r="C94" s="29">
        <v>0</v>
      </c>
      <c r="D94" s="29">
        <v>1</v>
      </c>
      <c r="E94" s="29">
        <v>3</v>
      </c>
      <c r="F94" s="29">
        <v>2</v>
      </c>
      <c r="G94" s="29">
        <v>4</v>
      </c>
      <c r="H94" s="29">
        <v>0</v>
      </c>
      <c r="I94" s="29">
        <v>2</v>
      </c>
      <c r="J94" s="29">
        <v>2</v>
      </c>
      <c r="K94" s="29">
        <v>1</v>
      </c>
      <c r="L94" s="29">
        <v>3</v>
      </c>
      <c r="M94" s="29">
        <v>1</v>
      </c>
      <c r="N94" s="29">
        <v>1</v>
      </c>
      <c r="O94" s="29">
        <v>2</v>
      </c>
      <c r="P94" s="29">
        <v>5</v>
      </c>
      <c r="Q94" s="29">
        <v>1</v>
      </c>
      <c r="R94" s="29">
        <v>2</v>
      </c>
      <c r="S94" s="29">
        <v>1</v>
      </c>
      <c r="T94" s="29">
        <v>2</v>
      </c>
      <c r="U94" s="29">
        <v>0</v>
      </c>
      <c r="V94" s="29">
        <v>5</v>
      </c>
      <c r="W94" s="29">
        <v>0</v>
      </c>
      <c r="X94" s="29">
        <v>0</v>
      </c>
      <c r="Y94" s="29">
        <v>1</v>
      </c>
      <c r="Z94" s="29">
        <v>3</v>
      </c>
      <c r="AA94" s="29">
        <v>1</v>
      </c>
      <c r="AB94" s="29">
        <v>1</v>
      </c>
      <c r="AC94" s="29">
        <v>0</v>
      </c>
      <c r="AD94" s="29">
        <v>3</v>
      </c>
      <c r="AE94" s="29">
        <v>2</v>
      </c>
      <c r="AF94" s="29">
        <v>3</v>
      </c>
      <c r="AG94" s="30">
        <f t="shared" si="14"/>
        <v>0</v>
      </c>
    </row>
    <row r="95" spans="1:33" x14ac:dyDescent="0.25">
      <c r="A95" s="28" t="s">
        <v>75</v>
      </c>
      <c r="B95" s="29">
        <v>5</v>
      </c>
      <c r="C95" s="29">
        <v>1</v>
      </c>
      <c r="D95" s="29">
        <v>0</v>
      </c>
      <c r="E95" s="29">
        <v>4</v>
      </c>
      <c r="F95" s="29">
        <v>4</v>
      </c>
      <c r="G95" s="29">
        <v>1</v>
      </c>
      <c r="H95" s="29">
        <v>0</v>
      </c>
      <c r="I95" s="29">
        <v>0</v>
      </c>
      <c r="J95" s="29">
        <v>1</v>
      </c>
      <c r="K95" s="29">
        <v>0</v>
      </c>
      <c r="L95" s="29">
        <v>2</v>
      </c>
      <c r="M95" s="29">
        <v>1</v>
      </c>
      <c r="N95" s="29">
        <v>0</v>
      </c>
      <c r="O95" s="29">
        <v>5</v>
      </c>
      <c r="P95" s="29">
        <v>2</v>
      </c>
      <c r="Q95" s="29">
        <v>5</v>
      </c>
      <c r="R95" s="29">
        <v>0</v>
      </c>
      <c r="S95" s="29">
        <v>1</v>
      </c>
      <c r="T95" s="29">
        <v>2</v>
      </c>
      <c r="U95" s="29">
        <v>5</v>
      </c>
      <c r="V95" s="29">
        <v>5</v>
      </c>
      <c r="W95" s="29">
        <v>5</v>
      </c>
      <c r="X95" s="29">
        <v>1</v>
      </c>
      <c r="Y95" s="29">
        <v>3</v>
      </c>
      <c r="Z95" s="29">
        <v>1</v>
      </c>
      <c r="AA95" s="29">
        <v>5</v>
      </c>
      <c r="AB95" s="29">
        <v>2</v>
      </c>
      <c r="AC95" s="29">
        <v>1</v>
      </c>
      <c r="AD95" s="29">
        <v>4</v>
      </c>
      <c r="AE95" s="29">
        <v>3</v>
      </c>
      <c r="AF95" s="29">
        <v>5</v>
      </c>
      <c r="AG95" s="30">
        <f t="shared" si="14"/>
        <v>0</v>
      </c>
    </row>
    <row r="96" spans="1:33" x14ac:dyDescent="0.25">
      <c r="A96" s="28" t="s">
        <v>76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30">
        <f t="shared" si="14"/>
        <v>0</v>
      </c>
    </row>
    <row r="97" spans="1:33" x14ac:dyDescent="0.25">
      <c r="A97" s="28" t="s">
        <v>77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30">
        <f t="shared" si="14"/>
        <v>0</v>
      </c>
    </row>
    <row r="98" spans="1:33" x14ac:dyDescent="0.25">
      <c r="A98" s="28" t="s">
        <v>78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30">
        <f t="shared" si="14"/>
        <v>0</v>
      </c>
    </row>
    <row r="99" spans="1:33" s="37" customFormat="1" x14ac:dyDescent="0.25">
      <c r="A99" s="38" t="s">
        <v>36</v>
      </c>
      <c r="B99" s="39">
        <f>SUM(B92:B98)</f>
        <v>0</v>
      </c>
      <c r="C99" s="39">
        <f t="shared" ref="C99:AF99" si="15">SUM(C92:C98)</f>
        <v>0</v>
      </c>
      <c r="D99" s="39">
        <f t="shared" si="15"/>
        <v>0</v>
      </c>
      <c r="E99" s="39">
        <f t="shared" si="15"/>
        <v>0</v>
      </c>
      <c r="F99" s="39">
        <f t="shared" si="15"/>
        <v>0</v>
      </c>
      <c r="G99" s="39">
        <f t="shared" si="15"/>
        <v>0</v>
      </c>
      <c r="H99" s="39">
        <f t="shared" si="15"/>
        <v>0</v>
      </c>
      <c r="I99" s="39">
        <f t="shared" si="15"/>
        <v>0</v>
      </c>
      <c r="J99" s="39">
        <f t="shared" si="15"/>
        <v>0</v>
      </c>
      <c r="K99" s="39">
        <f t="shared" si="15"/>
        <v>0</v>
      </c>
      <c r="L99" s="39">
        <f t="shared" si="15"/>
        <v>0</v>
      </c>
      <c r="M99" s="39">
        <f t="shared" si="15"/>
        <v>0</v>
      </c>
      <c r="N99" s="39">
        <f t="shared" si="15"/>
        <v>0</v>
      </c>
      <c r="O99" s="39">
        <f t="shared" si="15"/>
        <v>0</v>
      </c>
      <c r="P99" s="39">
        <f t="shared" si="15"/>
        <v>0</v>
      </c>
      <c r="Q99" s="39">
        <f t="shared" si="15"/>
        <v>0</v>
      </c>
      <c r="R99" s="39">
        <f t="shared" si="15"/>
        <v>0</v>
      </c>
      <c r="S99" s="39">
        <f t="shared" si="15"/>
        <v>0</v>
      </c>
      <c r="T99" s="39">
        <f t="shared" si="15"/>
        <v>0</v>
      </c>
      <c r="U99" s="39">
        <f t="shared" si="15"/>
        <v>0</v>
      </c>
      <c r="V99" s="39">
        <f t="shared" si="15"/>
        <v>0</v>
      </c>
      <c r="W99" s="39">
        <f t="shared" si="15"/>
        <v>0</v>
      </c>
      <c r="X99" s="39">
        <f t="shared" si="15"/>
        <v>0</v>
      </c>
      <c r="Y99" s="39">
        <f t="shared" si="15"/>
        <v>0</v>
      </c>
      <c r="Z99" s="39">
        <f t="shared" si="15"/>
        <v>0</v>
      </c>
      <c r="AA99" s="39">
        <f t="shared" si="15"/>
        <v>0</v>
      </c>
      <c r="AB99" s="39">
        <f t="shared" si="15"/>
        <v>0</v>
      </c>
      <c r="AC99" s="39">
        <f t="shared" si="15"/>
        <v>0</v>
      </c>
      <c r="AD99" s="39">
        <f t="shared" si="15"/>
        <v>0</v>
      </c>
      <c r="AE99" s="39">
        <f t="shared" si="15"/>
        <v>0</v>
      </c>
      <c r="AF99" s="39">
        <f t="shared" si="15"/>
        <v>0</v>
      </c>
      <c r="AG99" s="40">
        <f t="shared" si="14"/>
        <v>0</v>
      </c>
    </row>
    <row r="100" spans="1:33" s="21" customFormat="1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35"/>
    </row>
    <row r="101" spans="1:33" s="25" customFormat="1" x14ac:dyDescent="0.25">
      <c r="A101" s="36" t="s">
        <v>79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27"/>
    </row>
    <row r="102" spans="1:33" x14ac:dyDescent="0.25">
      <c r="A102" s="28" t="s">
        <v>80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0">
        <f t="shared" ref="AG102:AG108" si="16">SUM(B102:AF102)</f>
        <v>0</v>
      </c>
    </row>
    <row r="103" spans="1:33" x14ac:dyDescent="0.25">
      <c r="A103" s="28" t="s">
        <v>81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30">
        <f t="shared" si="16"/>
        <v>0</v>
      </c>
    </row>
    <row r="104" spans="1:33" x14ac:dyDescent="0.25">
      <c r="A104" s="28" t="s">
        <v>82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30">
        <f t="shared" si="16"/>
        <v>0</v>
      </c>
    </row>
    <row r="105" spans="1:33" x14ac:dyDescent="0.25">
      <c r="A105" s="28" t="s">
        <v>83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30">
        <f t="shared" si="16"/>
        <v>0</v>
      </c>
    </row>
    <row r="106" spans="1:33" x14ac:dyDescent="0.25">
      <c r="A106" s="28" t="s">
        <v>84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30">
        <f t="shared" si="16"/>
        <v>0</v>
      </c>
    </row>
    <row r="107" spans="1:33" x14ac:dyDescent="0.25">
      <c r="A107" s="28" t="s">
        <v>85</v>
      </c>
      <c r="B107" s="29">
        <v>5</v>
      </c>
      <c r="C107" s="29">
        <v>5</v>
      </c>
      <c r="D107" s="29">
        <v>2</v>
      </c>
      <c r="E107" s="29">
        <v>5</v>
      </c>
      <c r="F107" s="29">
        <v>3</v>
      </c>
      <c r="G107" s="29">
        <v>5</v>
      </c>
      <c r="H107" s="29">
        <v>3</v>
      </c>
      <c r="I107" s="29">
        <v>3</v>
      </c>
      <c r="J107" s="29">
        <v>3</v>
      </c>
      <c r="K107" s="29">
        <v>0</v>
      </c>
      <c r="L107" s="29">
        <v>5</v>
      </c>
      <c r="M107" s="29">
        <v>2</v>
      </c>
      <c r="N107" s="29">
        <v>0</v>
      </c>
      <c r="O107" s="29">
        <v>4</v>
      </c>
      <c r="P107" s="29">
        <v>1</v>
      </c>
      <c r="Q107" s="29">
        <v>5</v>
      </c>
      <c r="R107" s="29">
        <v>2</v>
      </c>
      <c r="S107" s="29">
        <v>1</v>
      </c>
      <c r="T107" s="29">
        <v>4</v>
      </c>
      <c r="U107" s="29">
        <v>2</v>
      </c>
      <c r="V107" s="29">
        <v>2</v>
      </c>
      <c r="W107" s="29">
        <v>2</v>
      </c>
      <c r="X107" s="29">
        <v>3</v>
      </c>
      <c r="Y107" s="29">
        <v>2</v>
      </c>
      <c r="Z107" s="29">
        <v>2</v>
      </c>
      <c r="AA107" s="29">
        <v>1</v>
      </c>
      <c r="AB107" s="29">
        <v>4</v>
      </c>
      <c r="AC107" s="29">
        <v>3</v>
      </c>
      <c r="AD107" s="29">
        <v>0</v>
      </c>
      <c r="AE107" s="29">
        <v>3</v>
      </c>
      <c r="AF107" s="29">
        <v>4</v>
      </c>
      <c r="AG107" s="30">
        <f t="shared" si="16"/>
        <v>0</v>
      </c>
    </row>
    <row r="108" spans="1:33" s="37" customFormat="1" x14ac:dyDescent="0.25">
      <c r="A108" s="38" t="s">
        <v>36</v>
      </c>
      <c r="B108" s="39">
        <f>SUM(B102:B107)</f>
        <v>0</v>
      </c>
      <c r="C108" s="39">
        <f t="shared" ref="C108:AF108" si="17">SUM(C102:C107)</f>
        <v>0</v>
      </c>
      <c r="D108" s="39">
        <f t="shared" si="17"/>
        <v>0</v>
      </c>
      <c r="E108" s="39">
        <f t="shared" si="17"/>
        <v>0</v>
      </c>
      <c r="F108" s="39">
        <f t="shared" si="17"/>
        <v>0</v>
      </c>
      <c r="G108" s="39">
        <f t="shared" si="17"/>
        <v>0</v>
      </c>
      <c r="H108" s="39">
        <f t="shared" si="17"/>
        <v>0</v>
      </c>
      <c r="I108" s="39">
        <f t="shared" si="17"/>
        <v>0</v>
      </c>
      <c r="J108" s="39">
        <f t="shared" si="17"/>
        <v>0</v>
      </c>
      <c r="K108" s="39">
        <f t="shared" si="17"/>
        <v>0</v>
      </c>
      <c r="L108" s="39">
        <f t="shared" si="17"/>
        <v>0</v>
      </c>
      <c r="M108" s="39">
        <f t="shared" si="17"/>
        <v>0</v>
      </c>
      <c r="N108" s="39">
        <f t="shared" si="17"/>
        <v>0</v>
      </c>
      <c r="O108" s="39">
        <f t="shared" si="17"/>
        <v>0</v>
      </c>
      <c r="P108" s="39">
        <f t="shared" si="17"/>
        <v>0</v>
      </c>
      <c r="Q108" s="39">
        <f t="shared" si="17"/>
        <v>0</v>
      </c>
      <c r="R108" s="39">
        <f t="shared" si="17"/>
        <v>0</v>
      </c>
      <c r="S108" s="39">
        <f t="shared" si="17"/>
        <v>0</v>
      </c>
      <c r="T108" s="39">
        <f t="shared" si="17"/>
        <v>0</v>
      </c>
      <c r="U108" s="39">
        <f t="shared" si="17"/>
        <v>0</v>
      </c>
      <c r="V108" s="39">
        <f t="shared" si="17"/>
        <v>0</v>
      </c>
      <c r="W108" s="39">
        <f t="shared" si="17"/>
        <v>0</v>
      </c>
      <c r="X108" s="39">
        <f t="shared" si="17"/>
        <v>0</v>
      </c>
      <c r="Y108" s="39">
        <f t="shared" si="17"/>
        <v>0</v>
      </c>
      <c r="Z108" s="39">
        <f t="shared" si="17"/>
        <v>0</v>
      </c>
      <c r="AA108" s="39">
        <f t="shared" si="17"/>
        <v>0</v>
      </c>
      <c r="AB108" s="39">
        <f t="shared" si="17"/>
        <v>0</v>
      </c>
      <c r="AC108" s="39">
        <f t="shared" si="17"/>
        <v>0</v>
      </c>
      <c r="AD108" s="39">
        <f t="shared" si="17"/>
        <v>0</v>
      </c>
      <c r="AE108" s="39">
        <f t="shared" si="17"/>
        <v>0</v>
      </c>
      <c r="AF108" s="39">
        <f t="shared" si="17"/>
        <v>0</v>
      </c>
      <c r="AG108" s="40">
        <f t="shared" si="16"/>
        <v>0</v>
      </c>
    </row>
    <row r="109" spans="1:33" s="21" customFormat="1" x14ac:dyDescent="0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35"/>
    </row>
    <row r="110" spans="1:33" s="25" customFormat="1" x14ac:dyDescent="0.25">
      <c r="A110" s="36" t="s">
        <v>86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27"/>
    </row>
    <row r="111" spans="1:33" x14ac:dyDescent="0.25">
      <c r="A111" s="28" t="s">
        <v>87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30">
        <f t="shared" ref="AG111:AG116" si="18">SUM(B111:AF111)</f>
        <v>0</v>
      </c>
    </row>
    <row r="112" spans="1:33" x14ac:dyDescent="0.25">
      <c r="A112" s="28" t="s">
        <v>88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30">
        <f t="shared" si="18"/>
        <v>0</v>
      </c>
    </row>
    <row r="113" spans="1:33" x14ac:dyDescent="0.25">
      <c r="A113" s="28" t="s">
        <v>89</v>
      </c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0">
        <f t="shared" si="18"/>
        <v>0</v>
      </c>
    </row>
    <row r="114" spans="1:33" x14ac:dyDescent="0.25">
      <c r="A114" s="28" t="s">
        <v>90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30">
        <f t="shared" si="18"/>
        <v>0</v>
      </c>
    </row>
    <row r="115" spans="1:33" x14ac:dyDescent="0.25">
      <c r="A115" s="28" t="s">
        <v>91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30">
        <f t="shared" si="18"/>
        <v>0</v>
      </c>
    </row>
    <row r="116" spans="1:33" s="37" customFormat="1" x14ac:dyDescent="0.25">
      <c r="A116" s="38" t="s">
        <v>36</v>
      </c>
      <c r="B116" s="39">
        <f>SUM(B111:B115)</f>
        <v>0</v>
      </c>
      <c r="C116" s="39">
        <f t="shared" ref="C116:AF116" si="19">SUM(C111:C115)</f>
        <v>0</v>
      </c>
      <c r="D116" s="39">
        <f t="shared" si="19"/>
        <v>0</v>
      </c>
      <c r="E116" s="39">
        <f t="shared" si="19"/>
        <v>0</v>
      </c>
      <c r="F116" s="39">
        <f t="shared" si="19"/>
        <v>0</v>
      </c>
      <c r="G116" s="39">
        <f t="shared" si="19"/>
        <v>0</v>
      </c>
      <c r="H116" s="39">
        <f t="shared" si="19"/>
        <v>0</v>
      </c>
      <c r="I116" s="39">
        <f t="shared" si="19"/>
        <v>0</v>
      </c>
      <c r="J116" s="39">
        <f t="shared" si="19"/>
        <v>0</v>
      </c>
      <c r="K116" s="39">
        <f t="shared" si="19"/>
        <v>0</v>
      </c>
      <c r="L116" s="39">
        <f t="shared" si="19"/>
        <v>0</v>
      </c>
      <c r="M116" s="39">
        <f t="shared" si="19"/>
        <v>0</v>
      </c>
      <c r="N116" s="39">
        <f t="shared" si="19"/>
        <v>0</v>
      </c>
      <c r="O116" s="39">
        <f t="shared" si="19"/>
        <v>0</v>
      </c>
      <c r="P116" s="39">
        <f t="shared" si="19"/>
        <v>0</v>
      </c>
      <c r="Q116" s="39">
        <f t="shared" si="19"/>
        <v>0</v>
      </c>
      <c r="R116" s="39">
        <f t="shared" si="19"/>
        <v>0</v>
      </c>
      <c r="S116" s="39">
        <f t="shared" si="19"/>
        <v>0</v>
      </c>
      <c r="T116" s="39">
        <f t="shared" si="19"/>
        <v>0</v>
      </c>
      <c r="U116" s="39">
        <f t="shared" si="19"/>
        <v>0</v>
      </c>
      <c r="V116" s="39">
        <f t="shared" si="19"/>
        <v>0</v>
      </c>
      <c r="W116" s="39">
        <f t="shared" si="19"/>
        <v>0</v>
      </c>
      <c r="X116" s="39">
        <f t="shared" si="19"/>
        <v>0</v>
      </c>
      <c r="Y116" s="39">
        <f t="shared" si="19"/>
        <v>0</v>
      </c>
      <c r="Z116" s="39">
        <f t="shared" si="19"/>
        <v>0</v>
      </c>
      <c r="AA116" s="39">
        <f t="shared" si="19"/>
        <v>0</v>
      </c>
      <c r="AB116" s="39">
        <f t="shared" si="19"/>
        <v>0</v>
      </c>
      <c r="AC116" s="39">
        <f t="shared" si="19"/>
        <v>0</v>
      </c>
      <c r="AD116" s="39">
        <f t="shared" si="19"/>
        <v>0</v>
      </c>
      <c r="AE116" s="39">
        <f t="shared" si="19"/>
        <v>0</v>
      </c>
      <c r="AF116" s="39">
        <f t="shared" si="19"/>
        <v>0</v>
      </c>
      <c r="AG116" s="40">
        <f t="shared" si="18"/>
        <v>0</v>
      </c>
    </row>
    <row r="117" spans="1:33" s="21" customFormat="1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35"/>
    </row>
    <row r="118" spans="1:33" s="25" customFormat="1" x14ac:dyDescent="0.25">
      <c r="A118" s="36" t="s">
        <v>92</v>
      </c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27"/>
    </row>
    <row r="119" spans="1:33" x14ac:dyDescent="0.25">
      <c r="A119" s="28" t="s">
        <v>93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30">
        <f t="shared" ref="AG119:AG122" si="20">SUM(B119:AF119)</f>
        <v>0</v>
      </c>
    </row>
    <row r="120" spans="1:33" x14ac:dyDescent="0.25">
      <c r="A120" s="28" t="s">
        <v>94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30">
        <f t="shared" si="20"/>
        <v>0</v>
      </c>
    </row>
    <row r="121" spans="1:33" x14ac:dyDescent="0.25">
      <c r="A121" s="28" t="s">
        <v>95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30">
        <f t="shared" si="20"/>
        <v>0</v>
      </c>
    </row>
    <row r="122" spans="1:33" s="37" customFormat="1" x14ac:dyDescent="0.25">
      <c r="A122" s="38" t="s">
        <v>36</v>
      </c>
      <c r="B122" s="39">
        <f>SUM(B119:B121)</f>
        <v>0</v>
      </c>
      <c r="C122" s="39">
        <f t="shared" ref="C122:AF122" si="21">SUM(C119:C121)</f>
        <v>0</v>
      </c>
      <c r="D122" s="39">
        <f t="shared" si="21"/>
        <v>0</v>
      </c>
      <c r="E122" s="39">
        <f t="shared" si="21"/>
        <v>0</v>
      </c>
      <c r="F122" s="39">
        <f t="shared" si="21"/>
        <v>0</v>
      </c>
      <c r="G122" s="39">
        <f t="shared" si="21"/>
        <v>0</v>
      </c>
      <c r="H122" s="39">
        <f t="shared" si="21"/>
        <v>0</v>
      </c>
      <c r="I122" s="39">
        <f t="shared" si="21"/>
        <v>0</v>
      </c>
      <c r="J122" s="39">
        <f t="shared" si="21"/>
        <v>0</v>
      </c>
      <c r="K122" s="39">
        <f t="shared" si="21"/>
        <v>0</v>
      </c>
      <c r="L122" s="39">
        <f t="shared" si="21"/>
        <v>0</v>
      </c>
      <c r="M122" s="39">
        <f t="shared" si="21"/>
        <v>0</v>
      </c>
      <c r="N122" s="39">
        <f t="shared" si="21"/>
        <v>0</v>
      </c>
      <c r="O122" s="39">
        <f t="shared" si="21"/>
        <v>0</v>
      </c>
      <c r="P122" s="39">
        <f t="shared" si="21"/>
        <v>0</v>
      </c>
      <c r="Q122" s="39">
        <f t="shared" si="21"/>
        <v>0</v>
      </c>
      <c r="R122" s="39">
        <f t="shared" si="21"/>
        <v>0</v>
      </c>
      <c r="S122" s="39">
        <f t="shared" si="21"/>
        <v>0</v>
      </c>
      <c r="T122" s="39">
        <f t="shared" si="21"/>
        <v>0</v>
      </c>
      <c r="U122" s="39">
        <f t="shared" si="21"/>
        <v>0</v>
      </c>
      <c r="V122" s="39">
        <f t="shared" si="21"/>
        <v>0</v>
      </c>
      <c r="W122" s="39">
        <f t="shared" si="21"/>
        <v>0</v>
      </c>
      <c r="X122" s="39">
        <f t="shared" si="21"/>
        <v>0</v>
      </c>
      <c r="Y122" s="39">
        <f t="shared" si="21"/>
        <v>0</v>
      </c>
      <c r="Z122" s="39">
        <f t="shared" si="21"/>
        <v>0</v>
      </c>
      <c r="AA122" s="39">
        <f t="shared" si="21"/>
        <v>0</v>
      </c>
      <c r="AB122" s="39">
        <f t="shared" si="21"/>
        <v>0</v>
      </c>
      <c r="AC122" s="39">
        <f t="shared" si="21"/>
        <v>0</v>
      </c>
      <c r="AD122" s="39">
        <f t="shared" si="21"/>
        <v>0</v>
      </c>
      <c r="AE122" s="39">
        <f t="shared" si="21"/>
        <v>0</v>
      </c>
      <c r="AF122" s="39">
        <f t="shared" si="21"/>
        <v>0</v>
      </c>
      <c r="AG122" s="40">
        <f t="shared" si="20"/>
        <v>0</v>
      </c>
    </row>
    <row r="123" spans="1:33" s="21" customFormat="1" x14ac:dyDescent="0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35"/>
    </row>
    <row r="124" ht="13.8" customHeight="1" spans="1:33" s="21" customFormat="1" x14ac:dyDescent="0.25">
      <c r="A124" s="18" t="s">
        <v>17</v>
      </c>
      <c r="B124" s="19">
        <v>1</v>
      </c>
      <c r="C124" s="19">
        <v>2</v>
      </c>
      <c r="D124" s="19">
        <v>3</v>
      </c>
      <c r="E124" s="19">
        <v>4</v>
      </c>
      <c r="F124" s="19">
        <v>5</v>
      </c>
      <c r="G124" s="19">
        <v>6</v>
      </c>
      <c r="H124" s="19">
        <v>7</v>
      </c>
      <c r="I124" s="19">
        <v>8</v>
      </c>
      <c r="J124" s="19">
        <v>9</v>
      </c>
      <c r="K124" s="19">
        <v>10</v>
      </c>
      <c r="L124" s="19">
        <v>11</v>
      </c>
      <c r="M124" s="19">
        <v>12</v>
      </c>
      <c r="N124" s="19">
        <v>13</v>
      </c>
      <c r="O124" s="19">
        <v>14</v>
      </c>
      <c r="P124" s="19">
        <v>15</v>
      </c>
      <c r="Q124" s="19">
        <v>16</v>
      </c>
      <c r="R124" s="19">
        <v>17</v>
      </c>
      <c r="S124" s="19">
        <v>18</v>
      </c>
      <c r="T124" s="19">
        <v>19</v>
      </c>
      <c r="U124" s="19">
        <v>20</v>
      </c>
      <c r="V124" s="19">
        <v>21</v>
      </c>
      <c r="W124" s="19">
        <v>22</v>
      </c>
      <c r="X124" s="19">
        <v>23</v>
      </c>
      <c r="Y124" s="19">
        <v>24</v>
      </c>
      <c r="Z124" s="19">
        <v>25</v>
      </c>
      <c r="AA124" s="19">
        <v>26</v>
      </c>
      <c r="AB124" s="19">
        <v>27</v>
      </c>
      <c r="AC124" s="19">
        <v>28</v>
      </c>
      <c r="AD124" s="19">
        <v>29</v>
      </c>
      <c r="AE124" s="19">
        <v>30</v>
      </c>
      <c r="AF124" s="19">
        <v>31</v>
      </c>
      <c r="AG124" s="20" t="s">
        <v>18</v>
      </c>
    </row>
    <row r="125" spans="1:33" s="25" customFormat="1" x14ac:dyDescent="0.25">
      <c r="A125" s="26" t="s">
        <v>96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7"/>
    </row>
    <row r="126" spans="1:33" x14ac:dyDescent="0.25">
      <c r="A126" s="28" t="s">
        <v>97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0">
        <f t="shared" ref="AG126:AG131" si="22">SUM(B126:AF126)</f>
        <v>0</v>
      </c>
    </row>
    <row r="127" spans="1:33" x14ac:dyDescent="0.25">
      <c r="A127" s="28" t="s">
        <v>98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30">
        <f t="shared" si="22"/>
        <v>0</v>
      </c>
    </row>
    <row r="128" spans="1:33" x14ac:dyDescent="0.25">
      <c r="A128" s="28" t="s">
        <v>99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30">
        <f t="shared" si="22"/>
        <v>0</v>
      </c>
    </row>
    <row r="129" spans="1:33" x14ac:dyDescent="0.25">
      <c r="A129" s="28" t="s">
        <v>100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30">
        <f t="shared" si="22"/>
        <v>0</v>
      </c>
    </row>
    <row r="130" spans="1:33" x14ac:dyDescent="0.25">
      <c r="A130" s="28" t="s">
        <v>101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0">
        <f t="shared" si="22"/>
        <v>0</v>
      </c>
    </row>
    <row r="131" spans="1:33" s="37" customFormat="1" x14ac:dyDescent="0.25">
      <c r="A131" s="38" t="s">
        <v>36</v>
      </c>
      <c r="B131" s="39">
        <f>SUM(B126:B130)</f>
        <v>0</v>
      </c>
      <c r="C131" s="39">
        <f t="shared" ref="C131:AF131" si="23">SUM(C126:C130)</f>
        <v>0</v>
      </c>
      <c r="D131" s="39">
        <f t="shared" si="23"/>
        <v>0</v>
      </c>
      <c r="E131" s="39">
        <f t="shared" si="23"/>
        <v>0</v>
      </c>
      <c r="F131" s="39">
        <f t="shared" si="23"/>
        <v>0</v>
      </c>
      <c r="G131" s="39">
        <f t="shared" si="23"/>
        <v>0</v>
      </c>
      <c r="H131" s="39">
        <f t="shared" si="23"/>
        <v>0</v>
      </c>
      <c r="I131" s="39">
        <f t="shared" si="23"/>
        <v>0</v>
      </c>
      <c r="J131" s="39">
        <f t="shared" si="23"/>
        <v>0</v>
      </c>
      <c r="K131" s="39">
        <f t="shared" si="23"/>
        <v>0</v>
      </c>
      <c r="L131" s="39">
        <f t="shared" si="23"/>
        <v>0</v>
      </c>
      <c r="M131" s="39">
        <f t="shared" si="23"/>
        <v>0</v>
      </c>
      <c r="N131" s="39">
        <f t="shared" si="23"/>
        <v>0</v>
      </c>
      <c r="O131" s="39">
        <f t="shared" si="23"/>
        <v>0</v>
      </c>
      <c r="P131" s="39">
        <f t="shared" si="23"/>
        <v>0</v>
      </c>
      <c r="Q131" s="39">
        <f t="shared" si="23"/>
        <v>0</v>
      </c>
      <c r="R131" s="39">
        <f t="shared" si="23"/>
        <v>0</v>
      </c>
      <c r="S131" s="39">
        <f t="shared" si="23"/>
        <v>0</v>
      </c>
      <c r="T131" s="39">
        <f t="shared" si="23"/>
        <v>0</v>
      </c>
      <c r="U131" s="39">
        <f t="shared" si="23"/>
        <v>0</v>
      </c>
      <c r="V131" s="39">
        <f t="shared" si="23"/>
        <v>0</v>
      </c>
      <c r="W131" s="39">
        <f t="shared" si="23"/>
        <v>0</v>
      </c>
      <c r="X131" s="39">
        <f t="shared" si="23"/>
        <v>0</v>
      </c>
      <c r="Y131" s="39">
        <f t="shared" si="23"/>
        <v>0</v>
      </c>
      <c r="Z131" s="39">
        <f t="shared" si="23"/>
        <v>0</v>
      </c>
      <c r="AA131" s="39">
        <f t="shared" si="23"/>
        <v>0</v>
      </c>
      <c r="AB131" s="39">
        <f t="shared" si="23"/>
        <v>0</v>
      </c>
      <c r="AC131" s="39">
        <f t="shared" si="23"/>
        <v>0</v>
      </c>
      <c r="AD131" s="39">
        <f t="shared" si="23"/>
        <v>0</v>
      </c>
      <c r="AE131" s="39">
        <f t="shared" si="23"/>
        <v>0</v>
      </c>
      <c r="AF131" s="39">
        <f t="shared" si="23"/>
        <v>0</v>
      </c>
      <c r="AG131" s="40">
        <f t="shared" si="22"/>
        <v>0</v>
      </c>
    </row>
    <row r="132" spans="1:33" s="21" customFormat="1" x14ac:dyDescent="0.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35"/>
    </row>
    <row r="133" spans="1:33" s="25" customFormat="1" x14ac:dyDescent="0.25">
      <c r="A133" s="26" t="s">
        <v>102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7"/>
    </row>
    <row r="134" spans="1:33" x14ac:dyDescent="0.25">
      <c r="A134" s="28" t="s">
        <v>103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30">
        <f t="shared" ref="AG134:AG136" si="24">SUM(B134:AF134)</f>
        <v>0</v>
      </c>
    </row>
    <row r="135" spans="1:33" x14ac:dyDescent="0.25">
      <c r="A135" s="28" t="s">
        <v>104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30">
        <f t="shared" si="24"/>
        <v>0</v>
      </c>
    </row>
    <row r="136" spans="1:33" s="37" customFormat="1" x14ac:dyDescent="0.25">
      <c r="A136" s="38" t="s">
        <v>36</v>
      </c>
      <c r="B136" s="39">
        <f>SUM(B134:B135)</f>
        <v>0</v>
      </c>
      <c r="C136" s="39">
        <f t="shared" ref="C136:AF136" si="25">SUM(C134:C135)</f>
        <v>0</v>
      </c>
      <c r="D136" s="39">
        <f t="shared" si="25"/>
        <v>0</v>
      </c>
      <c r="E136" s="39">
        <f t="shared" si="25"/>
        <v>0</v>
      </c>
      <c r="F136" s="39">
        <f t="shared" si="25"/>
        <v>0</v>
      </c>
      <c r="G136" s="39">
        <f t="shared" si="25"/>
        <v>0</v>
      </c>
      <c r="H136" s="39">
        <f t="shared" si="25"/>
        <v>0</v>
      </c>
      <c r="I136" s="39">
        <f t="shared" si="25"/>
        <v>0</v>
      </c>
      <c r="J136" s="39">
        <f t="shared" si="25"/>
        <v>0</v>
      </c>
      <c r="K136" s="39">
        <f t="shared" si="25"/>
        <v>0</v>
      </c>
      <c r="L136" s="39">
        <f t="shared" si="25"/>
        <v>0</v>
      </c>
      <c r="M136" s="39">
        <f t="shared" si="25"/>
        <v>0</v>
      </c>
      <c r="N136" s="39">
        <f t="shared" si="25"/>
        <v>0</v>
      </c>
      <c r="O136" s="39">
        <f t="shared" si="25"/>
        <v>0</v>
      </c>
      <c r="P136" s="39">
        <f t="shared" si="25"/>
        <v>0</v>
      </c>
      <c r="Q136" s="39">
        <f t="shared" si="25"/>
        <v>0</v>
      </c>
      <c r="R136" s="39">
        <f t="shared" si="25"/>
        <v>0</v>
      </c>
      <c r="S136" s="39">
        <f t="shared" si="25"/>
        <v>0</v>
      </c>
      <c r="T136" s="39">
        <f t="shared" si="25"/>
        <v>0</v>
      </c>
      <c r="U136" s="39">
        <f t="shared" si="25"/>
        <v>0</v>
      </c>
      <c r="V136" s="39">
        <f t="shared" si="25"/>
        <v>0</v>
      </c>
      <c r="W136" s="39">
        <f t="shared" si="25"/>
        <v>0</v>
      </c>
      <c r="X136" s="39">
        <f t="shared" si="25"/>
        <v>0</v>
      </c>
      <c r="Y136" s="39">
        <f t="shared" si="25"/>
        <v>0</v>
      </c>
      <c r="Z136" s="39">
        <f t="shared" si="25"/>
        <v>0</v>
      </c>
      <c r="AA136" s="39">
        <f t="shared" si="25"/>
        <v>0</v>
      </c>
      <c r="AB136" s="39">
        <f t="shared" si="25"/>
        <v>0</v>
      </c>
      <c r="AC136" s="39">
        <f t="shared" si="25"/>
        <v>0</v>
      </c>
      <c r="AD136" s="39">
        <f t="shared" si="25"/>
        <v>0</v>
      </c>
      <c r="AE136" s="39">
        <f t="shared" si="25"/>
        <v>0</v>
      </c>
      <c r="AF136" s="39">
        <f t="shared" si="25"/>
        <v>0</v>
      </c>
      <c r="AG136" s="40">
        <f t="shared" si="24"/>
        <v>0</v>
      </c>
    </row>
    <row r="137" spans="1:33" s="21" customFormat="1" x14ac:dyDescent="0.2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35"/>
    </row>
    <row r="138" spans="1:33" s="25" customFormat="1" x14ac:dyDescent="0.25">
      <c r="A138" s="45" t="s">
        <v>105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7"/>
    </row>
    <row r="139" spans="1:33" x14ac:dyDescent="0.25">
      <c r="A139" s="45" t="s">
        <v>106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30">
        <f t="shared" ref="AG139" si="26">SUM(B139:AF139)</f>
        <v>0</v>
      </c>
    </row>
    <row r="140" spans="1:33" s="21" customFormat="1" x14ac:dyDescent="0.25">
      <c r="A140" s="46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35"/>
    </row>
    <row r="141" spans="1:33" s="31" customFormat="1" x14ac:dyDescent="0.25">
      <c r="A141" s="47" t="s">
        <v>107</v>
      </c>
      <c r="B141" s="33">
        <f t="shared" ref="B141:AF141" si="27">B139+B136+B131+B122+B116+B108+B99+B88+B80+B73+B62+B53+B45</f>
        <v>0</v>
      </c>
      <c r="C141" s="33">
        <f t="shared" si="27"/>
        <v>0</v>
      </c>
      <c r="D141" s="33">
        <f t="shared" si="27"/>
        <v>0</v>
      </c>
      <c r="E141" s="33">
        <f t="shared" si="27"/>
        <v>0</v>
      </c>
      <c r="F141" s="33">
        <f t="shared" si="27"/>
        <v>0</v>
      </c>
      <c r="G141" s="33">
        <f t="shared" si="27"/>
        <v>0</v>
      </c>
      <c r="H141" s="33">
        <f t="shared" si="27"/>
        <v>0</v>
      </c>
      <c r="I141" s="33">
        <f t="shared" si="27"/>
        <v>0</v>
      </c>
      <c r="J141" s="33">
        <f t="shared" si="27"/>
        <v>0</v>
      </c>
      <c r="K141" s="33">
        <f t="shared" si="27"/>
        <v>0</v>
      </c>
      <c r="L141" s="33">
        <f t="shared" si="27"/>
        <v>0</v>
      </c>
      <c r="M141" s="33">
        <f t="shared" si="27"/>
        <v>0</v>
      </c>
      <c r="N141" s="33">
        <f t="shared" si="27"/>
        <v>0</v>
      </c>
      <c r="O141" s="33">
        <f t="shared" si="27"/>
        <v>0</v>
      </c>
      <c r="P141" s="33">
        <f t="shared" si="27"/>
        <v>0</v>
      </c>
      <c r="Q141" s="33">
        <f t="shared" si="27"/>
        <v>0</v>
      </c>
      <c r="R141" s="33">
        <f t="shared" si="27"/>
        <v>0</v>
      </c>
      <c r="S141" s="33">
        <f t="shared" si="27"/>
        <v>0</v>
      </c>
      <c r="T141" s="33">
        <f t="shared" si="27"/>
        <v>0</v>
      </c>
      <c r="U141" s="33">
        <f t="shared" si="27"/>
        <v>0</v>
      </c>
      <c r="V141" s="33">
        <f t="shared" si="27"/>
        <v>0</v>
      </c>
      <c r="W141" s="33">
        <f t="shared" si="27"/>
        <v>0</v>
      </c>
      <c r="X141" s="33">
        <f t="shared" si="27"/>
        <v>0</v>
      </c>
      <c r="Y141" s="33">
        <f t="shared" si="27"/>
        <v>0</v>
      </c>
      <c r="Z141" s="33">
        <f t="shared" si="27"/>
        <v>0</v>
      </c>
      <c r="AA141" s="33">
        <f t="shared" si="27"/>
        <v>0</v>
      </c>
      <c r="AB141" s="33">
        <f t="shared" si="27"/>
        <v>0</v>
      </c>
      <c r="AC141" s="33">
        <f t="shared" si="27"/>
        <v>0</v>
      </c>
      <c r="AD141" s="33">
        <f t="shared" si="27"/>
        <v>0</v>
      </c>
      <c r="AE141" s="33">
        <f t="shared" si="27"/>
        <v>0</v>
      </c>
      <c r="AF141" s="33">
        <f t="shared" si="27"/>
        <v>0</v>
      </c>
      <c r="AG141" s="34">
        <f>SUM(B141:AF141)</f>
        <v>0</v>
      </c>
    </row>
    <row r="142" spans="1:33" x14ac:dyDescent="0.25">
      <c r="A142" s="48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35"/>
    </row>
    <row r="143" spans="1:33" x14ac:dyDescent="0.25">
      <c r="A143" s="45" t="s">
        <v>108</v>
      </c>
      <c r="B143" s="29">
        <v>4</v>
      </c>
      <c r="C143" s="29">
        <v>1</v>
      </c>
      <c r="D143" s="29">
        <v>2</v>
      </c>
      <c r="E143" s="29">
        <v>1</v>
      </c>
      <c r="F143" s="29">
        <v>0</v>
      </c>
      <c r="G143" s="29">
        <v>4</v>
      </c>
      <c r="H143" s="29">
        <v>0</v>
      </c>
      <c r="I143" s="29">
        <v>2</v>
      </c>
      <c r="J143" s="29">
        <v>2</v>
      </c>
      <c r="K143" s="29">
        <v>2</v>
      </c>
      <c r="L143" s="29">
        <v>2</v>
      </c>
      <c r="M143" s="29">
        <v>0</v>
      </c>
      <c r="N143" s="29">
        <v>2</v>
      </c>
      <c r="O143" s="29">
        <v>3</v>
      </c>
      <c r="P143" s="29">
        <v>2</v>
      </c>
      <c r="Q143" s="29">
        <v>1</v>
      </c>
      <c r="R143" s="29">
        <v>1</v>
      </c>
      <c r="S143" s="29">
        <v>4</v>
      </c>
      <c r="T143" s="29">
        <v>5</v>
      </c>
      <c r="U143" s="29">
        <v>4</v>
      </c>
      <c r="V143" s="29">
        <v>5</v>
      </c>
      <c r="W143" s="29">
        <v>1</v>
      </c>
      <c r="X143" s="29">
        <v>4</v>
      </c>
      <c r="Y143" s="29">
        <v>0</v>
      </c>
      <c r="Z143" s="29">
        <v>2</v>
      </c>
      <c r="AA143" s="29">
        <v>1</v>
      </c>
      <c r="AB143" s="29">
        <v>3</v>
      </c>
      <c r="AC143" s="29">
        <v>3</v>
      </c>
      <c r="AD143" s="29">
        <v>4</v>
      </c>
      <c r="AE143" s="29">
        <v>2</v>
      </c>
      <c r="AF143" s="29">
        <v>3</v>
      </c>
      <c r="AG143" s="30">
        <f>SUM(B143:AF143)</f>
        <v>0</v>
      </c>
    </row>
    <row r="144" spans="1:33" s="21" customFormat="1" x14ac:dyDescent="0.25">
      <c r="A144" s="46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2"/>
    </row>
    <row r="145" spans="1:33" x14ac:dyDescent="0.25">
      <c r="A145" s="49" t="s">
        <v>109</v>
      </c>
      <c r="B145" s="50">
        <f>B143+B141+B30+B149</f>
        <v>0</v>
      </c>
      <c r="C145" s="50">
        <f t="shared" ref="C145:AF145" si="28">C143+C141+C30+C149</f>
        <v>0</v>
      </c>
      <c r="D145" s="50">
        <f t="shared" si="28"/>
        <v>0</v>
      </c>
      <c r="E145" s="50">
        <f t="shared" si="28"/>
        <v>0</v>
      </c>
      <c r="F145" s="50">
        <f t="shared" si="28"/>
        <v>0</v>
      </c>
      <c r="G145" s="50">
        <f t="shared" si="28"/>
        <v>0</v>
      </c>
      <c r="H145" s="50">
        <f t="shared" si="28"/>
        <v>0</v>
      </c>
      <c r="I145" s="50">
        <f t="shared" si="28"/>
        <v>0</v>
      </c>
      <c r="J145" s="50">
        <f t="shared" si="28"/>
        <v>0</v>
      </c>
      <c r="K145" s="50">
        <f t="shared" si="28"/>
        <v>0</v>
      </c>
      <c r="L145" s="50">
        <f t="shared" si="28"/>
        <v>0</v>
      </c>
      <c r="M145" s="50">
        <f t="shared" si="28"/>
        <v>0</v>
      </c>
      <c r="N145" s="50">
        <f t="shared" si="28"/>
        <v>0</v>
      </c>
      <c r="O145" s="50">
        <f t="shared" si="28"/>
        <v>0</v>
      </c>
      <c r="P145" s="50">
        <f t="shared" si="28"/>
        <v>0</v>
      </c>
      <c r="Q145" s="50">
        <f t="shared" si="28"/>
        <v>0</v>
      </c>
      <c r="R145" s="50">
        <f t="shared" si="28"/>
        <v>0</v>
      </c>
      <c r="S145" s="50">
        <f t="shared" si="28"/>
        <v>0</v>
      </c>
      <c r="T145" s="50">
        <f t="shared" si="28"/>
        <v>0</v>
      </c>
      <c r="U145" s="50">
        <f t="shared" si="28"/>
        <v>0</v>
      </c>
      <c r="V145" s="50">
        <f t="shared" si="28"/>
        <v>0</v>
      </c>
      <c r="W145" s="50">
        <f t="shared" si="28"/>
        <v>0</v>
      </c>
      <c r="X145" s="50">
        <f t="shared" si="28"/>
        <v>0</v>
      </c>
      <c r="Y145" s="50">
        <f t="shared" si="28"/>
        <v>0</v>
      </c>
      <c r="Z145" s="50">
        <f t="shared" si="28"/>
        <v>0</v>
      </c>
      <c r="AA145" s="50">
        <f t="shared" si="28"/>
        <v>0</v>
      </c>
      <c r="AB145" s="50">
        <f t="shared" si="28"/>
        <v>0</v>
      </c>
      <c r="AC145" s="50">
        <f t="shared" si="28"/>
        <v>0</v>
      </c>
      <c r="AD145" s="50">
        <f t="shared" si="28"/>
        <v>0</v>
      </c>
      <c r="AE145" s="50">
        <f t="shared" si="28"/>
        <v>0</v>
      </c>
      <c r="AF145" s="50">
        <f t="shared" si="28"/>
        <v>0</v>
      </c>
      <c r="AG145" s="51">
        <f t="shared" ref="AG145:AG149" si="29">SUM(B145:AF145)</f>
        <v>0</v>
      </c>
    </row>
    <row r="146" spans="1:33" x14ac:dyDescent="0.25">
      <c r="A146" s="52" t="s">
        <v>110</v>
      </c>
      <c r="B146" s="33">
        <f t="shared" ref="B146:AF146" si="30">B30</f>
        <v>0</v>
      </c>
      <c r="C146" s="33">
        <f t="shared" si="30"/>
        <v>0</v>
      </c>
      <c r="D146" s="33">
        <f t="shared" si="30"/>
        <v>0</v>
      </c>
      <c r="E146" s="33">
        <f t="shared" si="30"/>
        <v>0</v>
      </c>
      <c r="F146" s="33">
        <f t="shared" si="30"/>
        <v>0</v>
      </c>
      <c r="G146" s="33">
        <f t="shared" si="30"/>
        <v>0</v>
      </c>
      <c r="H146" s="33">
        <f t="shared" si="30"/>
        <v>0</v>
      </c>
      <c r="I146" s="33">
        <f t="shared" si="30"/>
        <v>0</v>
      </c>
      <c r="J146" s="33">
        <f t="shared" si="30"/>
        <v>0</v>
      </c>
      <c r="K146" s="33">
        <f t="shared" si="30"/>
        <v>0</v>
      </c>
      <c r="L146" s="33">
        <f t="shared" si="30"/>
        <v>0</v>
      </c>
      <c r="M146" s="33">
        <f t="shared" si="30"/>
        <v>0</v>
      </c>
      <c r="N146" s="33">
        <f t="shared" si="30"/>
        <v>0</v>
      </c>
      <c r="O146" s="33">
        <f t="shared" si="30"/>
        <v>0</v>
      </c>
      <c r="P146" s="33">
        <f t="shared" si="30"/>
        <v>0</v>
      </c>
      <c r="Q146" s="33">
        <f t="shared" si="30"/>
        <v>0</v>
      </c>
      <c r="R146" s="33">
        <f t="shared" si="30"/>
        <v>0</v>
      </c>
      <c r="S146" s="33">
        <f t="shared" si="30"/>
        <v>0</v>
      </c>
      <c r="T146" s="33">
        <f t="shared" si="30"/>
        <v>0</v>
      </c>
      <c r="U146" s="33">
        <f t="shared" si="30"/>
        <v>0</v>
      </c>
      <c r="V146" s="33">
        <f t="shared" si="30"/>
        <v>0</v>
      </c>
      <c r="W146" s="33">
        <f t="shared" si="30"/>
        <v>0</v>
      </c>
      <c r="X146" s="33">
        <f t="shared" si="30"/>
        <v>0</v>
      </c>
      <c r="Y146" s="33">
        <f t="shared" si="30"/>
        <v>0</v>
      </c>
      <c r="Z146" s="33">
        <f t="shared" si="30"/>
        <v>0</v>
      </c>
      <c r="AA146" s="33">
        <f t="shared" si="30"/>
        <v>0</v>
      </c>
      <c r="AB146" s="33">
        <f t="shared" si="30"/>
        <v>0</v>
      </c>
      <c r="AC146" s="33">
        <f t="shared" si="30"/>
        <v>0</v>
      </c>
      <c r="AD146" s="33">
        <f t="shared" si="30"/>
        <v>0</v>
      </c>
      <c r="AE146" s="33">
        <f t="shared" si="30"/>
        <v>0</v>
      </c>
      <c r="AF146" s="33">
        <f t="shared" si="30"/>
        <v>0</v>
      </c>
      <c r="AG146" s="34">
        <f t="shared" si="29"/>
        <v>0</v>
      </c>
    </row>
    <row r="147" spans="1:33" x14ac:dyDescent="0.25">
      <c r="A147" s="52" t="s">
        <v>111</v>
      </c>
      <c r="B147" s="33">
        <f>B141</f>
        <v>0</v>
      </c>
      <c r="C147" s="33">
        <f t="shared" ref="C147:AF147" si="31">C141</f>
        <v>0</v>
      </c>
      <c r="D147" s="33">
        <f t="shared" si="31"/>
        <v>0</v>
      </c>
      <c r="E147" s="33">
        <f t="shared" si="31"/>
        <v>0</v>
      </c>
      <c r="F147" s="33">
        <f t="shared" si="31"/>
        <v>0</v>
      </c>
      <c r="G147" s="33">
        <f t="shared" si="31"/>
        <v>0</v>
      </c>
      <c r="H147" s="33">
        <f t="shared" si="31"/>
        <v>0</v>
      </c>
      <c r="I147" s="33">
        <f t="shared" si="31"/>
        <v>0</v>
      </c>
      <c r="J147" s="33">
        <f t="shared" si="31"/>
        <v>0</v>
      </c>
      <c r="K147" s="33">
        <f t="shared" si="31"/>
        <v>0</v>
      </c>
      <c r="L147" s="33">
        <f t="shared" si="31"/>
        <v>0</v>
      </c>
      <c r="M147" s="33">
        <f t="shared" si="31"/>
        <v>0</v>
      </c>
      <c r="N147" s="33">
        <f t="shared" si="31"/>
        <v>0</v>
      </c>
      <c r="O147" s="33">
        <f t="shared" si="31"/>
        <v>0</v>
      </c>
      <c r="P147" s="33">
        <f t="shared" si="31"/>
        <v>0</v>
      </c>
      <c r="Q147" s="33">
        <f t="shared" si="31"/>
        <v>0</v>
      </c>
      <c r="R147" s="33">
        <f t="shared" si="31"/>
        <v>0</v>
      </c>
      <c r="S147" s="33">
        <f t="shared" si="31"/>
        <v>0</v>
      </c>
      <c r="T147" s="33">
        <f t="shared" si="31"/>
        <v>0</v>
      </c>
      <c r="U147" s="33">
        <f t="shared" si="31"/>
        <v>0</v>
      </c>
      <c r="V147" s="33">
        <f t="shared" si="31"/>
        <v>0</v>
      </c>
      <c r="W147" s="33">
        <f t="shared" si="31"/>
        <v>0</v>
      </c>
      <c r="X147" s="33">
        <f t="shared" si="31"/>
        <v>0</v>
      </c>
      <c r="Y147" s="33">
        <f t="shared" si="31"/>
        <v>0</v>
      </c>
      <c r="Z147" s="33">
        <f t="shared" si="31"/>
        <v>0</v>
      </c>
      <c r="AA147" s="33">
        <f t="shared" si="31"/>
        <v>0</v>
      </c>
      <c r="AB147" s="33">
        <f t="shared" si="31"/>
        <v>0</v>
      </c>
      <c r="AC147" s="33">
        <f t="shared" si="31"/>
        <v>0</v>
      </c>
      <c r="AD147" s="33">
        <f t="shared" si="31"/>
        <v>0</v>
      </c>
      <c r="AE147" s="33">
        <f t="shared" si="31"/>
        <v>0</v>
      </c>
      <c r="AF147" s="33">
        <f t="shared" si="31"/>
        <v>0</v>
      </c>
      <c r="AG147" s="34">
        <f t="shared" si="29"/>
        <v>0</v>
      </c>
    </row>
    <row r="148" spans="1:33" x14ac:dyDescent="0.25">
      <c r="A148" s="52" t="s">
        <v>112</v>
      </c>
      <c r="B148" s="33">
        <f>B143</f>
        <v>0</v>
      </c>
      <c r="C148" s="33">
        <f t="shared" ref="C148:AF148" si="32">C143</f>
        <v>0</v>
      </c>
      <c r="D148" s="33">
        <f t="shared" si="32"/>
        <v>0</v>
      </c>
      <c r="E148" s="33">
        <f t="shared" si="32"/>
        <v>0</v>
      </c>
      <c r="F148" s="33">
        <f t="shared" si="32"/>
        <v>0</v>
      </c>
      <c r="G148" s="33">
        <f t="shared" si="32"/>
        <v>0</v>
      </c>
      <c r="H148" s="33">
        <f t="shared" si="32"/>
        <v>0</v>
      </c>
      <c r="I148" s="33">
        <f t="shared" si="32"/>
        <v>0</v>
      </c>
      <c r="J148" s="33">
        <f t="shared" si="32"/>
        <v>0</v>
      </c>
      <c r="K148" s="33">
        <f t="shared" si="32"/>
        <v>0</v>
      </c>
      <c r="L148" s="33">
        <f t="shared" si="32"/>
        <v>0</v>
      </c>
      <c r="M148" s="33">
        <f t="shared" si="32"/>
        <v>0</v>
      </c>
      <c r="N148" s="33">
        <f t="shared" si="32"/>
        <v>0</v>
      </c>
      <c r="O148" s="33">
        <f t="shared" si="32"/>
        <v>0</v>
      </c>
      <c r="P148" s="33">
        <f t="shared" si="32"/>
        <v>0</v>
      </c>
      <c r="Q148" s="33">
        <f t="shared" si="32"/>
        <v>0</v>
      </c>
      <c r="R148" s="33">
        <f t="shared" si="32"/>
        <v>0</v>
      </c>
      <c r="S148" s="33">
        <f t="shared" si="32"/>
        <v>0</v>
      </c>
      <c r="T148" s="33">
        <f t="shared" si="32"/>
        <v>0</v>
      </c>
      <c r="U148" s="33">
        <f t="shared" si="32"/>
        <v>0</v>
      </c>
      <c r="V148" s="33">
        <f t="shared" si="32"/>
        <v>0</v>
      </c>
      <c r="W148" s="33">
        <f t="shared" si="32"/>
        <v>0</v>
      </c>
      <c r="X148" s="33">
        <f t="shared" si="32"/>
        <v>0</v>
      </c>
      <c r="Y148" s="33">
        <f t="shared" si="32"/>
        <v>0</v>
      </c>
      <c r="Z148" s="33">
        <f t="shared" si="32"/>
        <v>0</v>
      </c>
      <c r="AA148" s="33">
        <f t="shared" si="32"/>
        <v>0</v>
      </c>
      <c r="AB148" s="33">
        <f t="shared" si="32"/>
        <v>0</v>
      </c>
      <c r="AC148" s="33">
        <f t="shared" si="32"/>
        <v>0</v>
      </c>
      <c r="AD148" s="33">
        <f t="shared" si="32"/>
        <v>0</v>
      </c>
      <c r="AE148" s="33">
        <f t="shared" si="32"/>
        <v>0</v>
      </c>
      <c r="AF148" s="33">
        <f t="shared" si="32"/>
        <v>0</v>
      </c>
      <c r="AG148" s="34">
        <f t="shared" si="29"/>
        <v>0</v>
      </c>
    </row>
    <row r="149" spans="1:33" x14ac:dyDescent="0.25">
      <c r="A149" s="52" t="s">
        <v>113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34">
        <f t="shared" si="29"/>
        <v>0</v>
      </c>
    </row>
    <row r="150" spans="1:33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3"/>
    </row>
    <row r="151" ht="15.6" customHeight="1" spans="1:33" x14ac:dyDescent="0.25">
      <c r="A151" s="55" t="s">
        <v>114</v>
      </c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3"/>
    </row>
    <row r="152" ht="15.6" customHeight="1" spans="1:33" x14ac:dyDescent="0.25">
      <c r="A152" s="5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57" t="s">
        <v>115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58" t="s">
        <v>116</v>
      </c>
      <c r="B154" s="53">
        <v>25</v>
      </c>
      <c r="C154" s="53">
        <v>25</v>
      </c>
      <c r="D154" s="53">
        <v>25</v>
      </c>
      <c r="E154" s="53">
        <v>25</v>
      </c>
      <c r="F154" s="53">
        <v>25</v>
      </c>
      <c r="G154" s="53">
        <v>25</v>
      </c>
      <c r="H154" s="53">
        <v>25</v>
      </c>
      <c r="I154" s="53">
        <v>25</v>
      </c>
      <c r="J154" s="53">
        <v>25</v>
      </c>
      <c r="K154" s="53">
        <v>25</v>
      </c>
      <c r="L154" s="53">
        <v>25</v>
      </c>
      <c r="M154" s="53">
        <v>25</v>
      </c>
      <c r="N154" s="53">
        <v>25</v>
      </c>
      <c r="O154" s="53">
        <v>25</v>
      </c>
      <c r="P154" s="53">
        <v>25</v>
      </c>
      <c r="Q154" s="53">
        <v>25</v>
      </c>
      <c r="R154" s="53">
        <v>25</v>
      </c>
      <c r="S154" s="53">
        <v>25</v>
      </c>
      <c r="T154" s="53">
        <v>25</v>
      </c>
      <c r="U154" s="53">
        <v>25</v>
      </c>
      <c r="V154" s="53">
        <v>25</v>
      </c>
      <c r="W154" s="53">
        <v>25</v>
      </c>
      <c r="X154" s="53">
        <v>25</v>
      </c>
      <c r="Y154" s="53">
        <v>25</v>
      </c>
      <c r="Z154" s="53">
        <v>25</v>
      </c>
      <c r="AA154" s="53">
        <v>25</v>
      </c>
      <c r="AB154" s="53">
        <v>25</v>
      </c>
      <c r="AC154" s="53">
        <v>25</v>
      </c>
      <c r="AD154" s="53">
        <v>25</v>
      </c>
      <c r="AE154" s="53">
        <v>25</v>
      </c>
      <c r="AF154" s="53">
        <v>25</v>
      </c>
      <c r="AG154" s="34">
        <f t="shared" ref="AG154:AG156" si="33">SUM(B154:AF154)</f>
        <v>0</v>
      </c>
    </row>
    <row r="155" spans="1:33" x14ac:dyDescent="0.25">
      <c r="A155" s="58" t="s">
        <v>117</v>
      </c>
      <c r="B155" s="53">
        <v>40</v>
      </c>
      <c r="C155" s="53">
        <v>40</v>
      </c>
      <c r="D155" s="53">
        <v>40</v>
      </c>
      <c r="E155" s="53">
        <v>40</v>
      </c>
      <c r="F155" s="53">
        <v>40</v>
      </c>
      <c r="G155" s="53">
        <v>40</v>
      </c>
      <c r="H155" s="53">
        <v>40</v>
      </c>
      <c r="I155" s="53">
        <v>40</v>
      </c>
      <c r="J155" s="53">
        <v>40</v>
      </c>
      <c r="K155" s="53">
        <v>40</v>
      </c>
      <c r="L155" s="53">
        <v>40</v>
      </c>
      <c r="M155" s="53">
        <v>40</v>
      </c>
      <c r="N155" s="53">
        <v>40</v>
      </c>
      <c r="O155" s="53">
        <v>40</v>
      </c>
      <c r="P155" s="53">
        <v>40</v>
      </c>
      <c r="Q155" s="53">
        <v>40</v>
      </c>
      <c r="R155" s="53">
        <v>40</v>
      </c>
      <c r="S155" s="53">
        <v>40</v>
      </c>
      <c r="T155" s="53">
        <v>40</v>
      </c>
      <c r="U155" s="53">
        <v>40</v>
      </c>
      <c r="V155" s="53">
        <v>40</v>
      </c>
      <c r="W155" s="53">
        <v>40</v>
      </c>
      <c r="X155" s="53">
        <v>40</v>
      </c>
      <c r="Y155" s="53">
        <v>40</v>
      </c>
      <c r="Z155" s="53">
        <v>40</v>
      </c>
      <c r="AA155" s="53">
        <v>40</v>
      </c>
      <c r="AB155" s="53">
        <v>40</v>
      </c>
      <c r="AC155" s="53">
        <v>40</v>
      </c>
      <c r="AD155" s="53">
        <v>40</v>
      </c>
      <c r="AE155" s="53">
        <v>40</v>
      </c>
      <c r="AF155" s="53">
        <v>40</v>
      </c>
      <c r="AG155" s="34">
        <f t="shared" si="33"/>
        <v>0</v>
      </c>
    </row>
    <row r="156" spans="1:33" x14ac:dyDescent="0.25">
      <c r="A156" s="58" t="s">
        <v>118</v>
      </c>
      <c r="B156" s="53">
        <v>30</v>
      </c>
      <c r="C156" s="53">
        <v>30</v>
      </c>
      <c r="D156" s="53">
        <v>30</v>
      </c>
      <c r="E156" s="53">
        <v>30</v>
      </c>
      <c r="F156" s="53">
        <v>30</v>
      </c>
      <c r="G156" s="53">
        <v>30</v>
      </c>
      <c r="H156" s="53">
        <v>30</v>
      </c>
      <c r="I156" s="53">
        <v>30</v>
      </c>
      <c r="J156" s="53">
        <v>30</v>
      </c>
      <c r="K156" s="53">
        <v>30</v>
      </c>
      <c r="L156" s="53">
        <v>30</v>
      </c>
      <c r="M156" s="53">
        <v>30</v>
      </c>
      <c r="N156" s="53">
        <v>30</v>
      </c>
      <c r="O156" s="53">
        <v>30</v>
      </c>
      <c r="P156" s="53">
        <v>30</v>
      </c>
      <c r="Q156" s="53">
        <v>30</v>
      </c>
      <c r="R156" s="53">
        <v>30</v>
      </c>
      <c r="S156" s="53">
        <v>30</v>
      </c>
      <c r="T156" s="53">
        <v>30</v>
      </c>
      <c r="U156" s="53">
        <v>30</v>
      </c>
      <c r="V156" s="53">
        <v>30</v>
      </c>
      <c r="W156" s="53">
        <v>30</v>
      </c>
      <c r="X156" s="53">
        <v>30</v>
      </c>
      <c r="Y156" s="53">
        <v>30</v>
      </c>
      <c r="Z156" s="53">
        <v>30</v>
      </c>
      <c r="AA156" s="53">
        <v>30</v>
      </c>
      <c r="AB156" s="53">
        <v>30</v>
      </c>
      <c r="AC156" s="53">
        <v>30</v>
      </c>
      <c r="AD156" s="53">
        <v>30</v>
      </c>
      <c r="AE156" s="53">
        <v>30</v>
      </c>
      <c r="AF156" s="53">
        <v>30</v>
      </c>
      <c r="AG156" s="34">
        <f t="shared" si="33"/>
        <v>0</v>
      </c>
    </row>
    <row r="157" ht="15.6" customHeight="1" spans="1:33" x14ac:dyDescent="0.25">
      <c r="A157" s="59" t="s">
        <v>119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58" t="s">
        <v>120</v>
      </c>
      <c r="B158" s="53">
        <v>0.625</v>
      </c>
      <c r="C158" s="53">
        <v>0.625</v>
      </c>
      <c r="D158" s="53">
        <v>0.625</v>
      </c>
      <c r="E158" s="53">
        <v>0.625</v>
      </c>
      <c r="F158" s="53">
        <v>0.625</v>
      </c>
      <c r="G158" s="53">
        <v>0.625</v>
      </c>
      <c r="H158" s="53">
        <v>0.625</v>
      </c>
      <c r="I158" s="53">
        <v>0.625</v>
      </c>
      <c r="J158" s="53">
        <v>0.625</v>
      </c>
      <c r="K158" s="53">
        <v>0.625</v>
      </c>
      <c r="L158" s="53">
        <v>0.625</v>
      </c>
      <c r="M158" s="53">
        <v>0.625</v>
      </c>
      <c r="N158" s="53">
        <v>0.625</v>
      </c>
      <c r="O158" s="53">
        <v>0.625</v>
      </c>
      <c r="P158" s="53">
        <v>0.625</v>
      </c>
      <c r="Q158" s="53">
        <v>0.625</v>
      </c>
      <c r="R158" s="53">
        <v>0.625</v>
      </c>
      <c r="S158" s="53">
        <v>0.625</v>
      </c>
      <c r="T158" s="53">
        <v>0.625</v>
      </c>
      <c r="U158" s="53">
        <v>0.625</v>
      </c>
      <c r="V158" s="53">
        <v>0.625</v>
      </c>
      <c r="W158" s="53">
        <v>0.625</v>
      </c>
      <c r="X158" s="53">
        <v>0.625</v>
      </c>
      <c r="Y158" s="53">
        <v>0.625</v>
      </c>
      <c r="Z158" s="53">
        <v>0.625</v>
      </c>
      <c r="AA158" s="53">
        <v>0.625</v>
      </c>
      <c r="AB158" s="53">
        <v>0.625</v>
      </c>
      <c r="AC158" s="53">
        <v>0.625</v>
      </c>
      <c r="AD158" s="53">
        <v>0.625</v>
      </c>
      <c r="AE158" s="53">
        <v>0.625</v>
      </c>
      <c r="AF158" s="53">
        <v>0.625</v>
      </c>
      <c r="AG158" s="34">
        <f t="shared" ref="AG158:AG159" si="34">SUM(B158:AF158)</f>
        <v>0</v>
      </c>
    </row>
    <row r="159" spans="1:33" x14ac:dyDescent="0.25">
      <c r="A159" s="58" t="s">
        <v>121</v>
      </c>
      <c r="B159" s="53">
        <v>1.5</v>
      </c>
      <c r="C159" s="53">
        <v>1.5</v>
      </c>
      <c r="D159" s="53">
        <v>1.5</v>
      </c>
      <c r="E159" s="53">
        <v>1.5</v>
      </c>
      <c r="F159" s="53">
        <v>1.5</v>
      </c>
      <c r="G159" s="53">
        <v>1.5</v>
      </c>
      <c r="H159" s="53">
        <v>1.5</v>
      </c>
      <c r="I159" s="53">
        <v>1.5</v>
      </c>
      <c r="J159" s="53">
        <v>1.5</v>
      </c>
      <c r="K159" s="53">
        <v>1.5</v>
      </c>
      <c r="L159" s="53">
        <v>1.5</v>
      </c>
      <c r="M159" s="53">
        <v>1.5</v>
      </c>
      <c r="N159" s="53">
        <v>1.5</v>
      </c>
      <c r="O159" s="53">
        <v>1.5</v>
      </c>
      <c r="P159" s="53">
        <v>1.5</v>
      </c>
      <c r="Q159" s="53">
        <v>1.5</v>
      </c>
      <c r="R159" s="53">
        <v>1.5</v>
      </c>
      <c r="S159" s="53">
        <v>1.5</v>
      </c>
      <c r="T159" s="53">
        <v>1.5</v>
      </c>
      <c r="U159" s="53">
        <v>1.5</v>
      </c>
      <c r="V159" s="53">
        <v>1.5</v>
      </c>
      <c r="W159" s="53">
        <v>1.5</v>
      </c>
      <c r="X159" s="53">
        <v>1.5</v>
      </c>
      <c r="Y159" s="53">
        <v>1.5</v>
      </c>
      <c r="Z159" s="53">
        <v>1.5</v>
      </c>
      <c r="AA159" s="53">
        <v>1.5</v>
      </c>
      <c r="AB159" s="53">
        <v>1.5</v>
      </c>
      <c r="AC159" s="53">
        <v>1.5</v>
      </c>
      <c r="AD159" s="53">
        <v>1.5</v>
      </c>
      <c r="AE159" s="53">
        <v>1.5</v>
      </c>
      <c r="AF159" s="53">
        <v>1.5</v>
      </c>
      <c r="AG159" s="34">
        <f t="shared" si="34"/>
        <v>0</v>
      </c>
    </row>
    <row r="160" ht="15.6" customHeight="1" spans="1:33" x14ac:dyDescent="0.25">
      <c r="A160" s="57" t="s">
        <v>122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60" t="s">
        <v>123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58" t="s">
        <v>124</v>
      </c>
      <c r="B162" s="53">
        <v>4</v>
      </c>
      <c r="C162" s="53">
        <v>2</v>
      </c>
      <c r="D162" s="53">
        <v>2</v>
      </c>
      <c r="E162" s="53">
        <v>5</v>
      </c>
      <c r="F162" s="53">
        <v>2</v>
      </c>
      <c r="G162" s="53">
        <v>4</v>
      </c>
      <c r="H162" s="53">
        <v>0</v>
      </c>
      <c r="I162" s="53">
        <v>3</v>
      </c>
      <c r="J162" s="53">
        <v>5</v>
      </c>
      <c r="K162" s="53">
        <v>3</v>
      </c>
      <c r="L162" s="53">
        <v>2</v>
      </c>
      <c r="M162" s="53">
        <v>4</v>
      </c>
      <c r="N162" s="53">
        <v>2</v>
      </c>
      <c r="O162" s="53">
        <v>2</v>
      </c>
      <c r="P162" s="53">
        <v>3</v>
      </c>
      <c r="Q162" s="53">
        <v>3</v>
      </c>
      <c r="R162" s="53">
        <v>1</v>
      </c>
      <c r="S162" s="53">
        <v>2</v>
      </c>
      <c r="T162" s="53">
        <v>3</v>
      </c>
      <c r="U162" s="53">
        <v>4</v>
      </c>
      <c r="V162" s="53">
        <v>1</v>
      </c>
      <c r="W162" s="53">
        <v>1</v>
      </c>
      <c r="X162" s="53">
        <v>0</v>
      </c>
      <c r="Y162" s="53">
        <v>0</v>
      </c>
      <c r="Z162" s="53">
        <v>4</v>
      </c>
      <c r="AA162" s="53">
        <v>2</v>
      </c>
      <c r="AB162" s="53">
        <v>2</v>
      </c>
      <c r="AC162" s="53">
        <v>5</v>
      </c>
      <c r="AD162" s="53">
        <v>4</v>
      </c>
      <c r="AE162" s="53">
        <v>4</v>
      </c>
      <c r="AF162" s="53">
        <v>0</v>
      </c>
      <c r="AG162" s="34">
        <f t="shared" ref="AG162:AG166" si="35">SUM(B162:AF162)</f>
        <v>0</v>
      </c>
    </row>
    <row r="163" spans="1:33" x14ac:dyDescent="0.25">
      <c r="A163" s="58" t="s">
        <v>125</v>
      </c>
      <c r="B163" s="53">
        <v>2</v>
      </c>
      <c r="C163" s="53">
        <v>5</v>
      </c>
      <c r="D163" s="53">
        <v>3</v>
      </c>
      <c r="E163" s="53">
        <v>0</v>
      </c>
      <c r="F163" s="53">
        <v>4</v>
      </c>
      <c r="G163" s="53">
        <v>2</v>
      </c>
      <c r="H163" s="53">
        <v>0</v>
      </c>
      <c r="I163" s="53">
        <v>5</v>
      </c>
      <c r="J163" s="53">
        <v>5</v>
      </c>
      <c r="K163" s="53">
        <v>4</v>
      </c>
      <c r="L163" s="53">
        <v>3</v>
      </c>
      <c r="M163" s="53">
        <v>4</v>
      </c>
      <c r="N163" s="53">
        <v>5</v>
      </c>
      <c r="O163" s="53">
        <v>1</v>
      </c>
      <c r="P163" s="53">
        <v>0</v>
      </c>
      <c r="Q163" s="53">
        <v>4</v>
      </c>
      <c r="R163" s="53">
        <v>3</v>
      </c>
      <c r="S163" s="53">
        <v>1</v>
      </c>
      <c r="T163" s="53">
        <v>0</v>
      </c>
      <c r="U163" s="53">
        <v>3</v>
      </c>
      <c r="V163" s="53">
        <v>0</v>
      </c>
      <c r="W163" s="53">
        <v>3</v>
      </c>
      <c r="X163" s="53">
        <v>2</v>
      </c>
      <c r="Y163" s="53">
        <v>2</v>
      </c>
      <c r="Z163" s="53">
        <v>0</v>
      </c>
      <c r="AA163" s="53">
        <v>0</v>
      </c>
      <c r="AB163" s="53">
        <v>0</v>
      </c>
      <c r="AC163" s="53">
        <v>0</v>
      </c>
      <c r="AD163" s="53">
        <v>3</v>
      </c>
      <c r="AE163" s="53">
        <v>4</v>
      </c>
      <c r="AF163" s="53">
        <v>5</v>
      </c>
      <c r="AG163" s="34">
        <f t="shared" si="35"/>
        <v>0</v>
      </c>
    </row>
    <row r="164" spans="1:33" x14ac:dyDescent="0.25">
      <c r="A164" s="58" t="s">
        <v>126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34">
        <f t="shared" si="35"/>
        <v>0</v>
      </c>
    </row>
    <row r="165" spans="1:33" x14ac:dyDescent="0.25">
      <c r="A165" s="58" t="s">
        <v>127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34">
        <f t="shared" si="35"/>
        <v>0</v>
      </c>
    </row>
    <row r="166" spans="1:33" x14ac:dyDescent="0.25">
      <c r="A166" s="58" t="s">
        <v>128</v>
      </c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34">
        <f t="shared" si="35"/>
        <v>0</v>
      </c>
    </row>
    <row r="167" spans="1:33" x14ac:dyDescent="0.25">
      <c r="A167" s="60" t="s">
        <v>129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58" t="s">
        <v>124</v>
      </c>
      <c r="B168" s="53">
        <v>2</v>
      </c>
      <c r="C168" s="53">
        <v>1</v>
      </c>
      <c r="D168" s="53">
        <v>5</v>
      </c>
      <c r="E168" s="53">
        <v>4</v>
      </c>
      <c r="F168" s="53">
        <v>4</v>
      </c>
      <c r="G168" s="53">
        <v>2</v>
      </c>
      <c r="H168" s="53">
        <v>4</v>
      </c>
      <c r="I168" s="53">
        <v>0</v>
      </c>
      <c r="J168" s="53">
        <v>5</v>
      </c>
      <c r="K168" s="53">
        <v>5</v>
      </c>
      <c r="L168" s="53">
        <v>5</v>
      </c>
      <c r="M168" s="53">
        <v>3</v>
      </c>
      <c r="N168" s="53">
        <v>1</v>
      </c>
      <c r="O168" s="53">
        <v>2</v>
      </c>
      <c r="P168" s="53">
        <v>1</v>
      </c>
      <c r="Q168" s="53">
        <v>0</v>
      </c>
      <c r="R168" s="53">
        <v>0</v>
      </c>
      <c r="S168" s="53">
        <v>2</v>
      </c>
      <c r="T168" s="53">
        <v>4</v>
      </c>
      <c r="U168" s="53">
        <v>2</v>
      </c>
      <c r="V168" s="53">
        <v>5</v>
      </c>
      <c r="W168" s="53">
        <v>5</v>
      </c>
      <c r="X168" s="53">
        <v>4</v>
      </c>
      <c r="Y168" s="53">
        <v>0</v>
      </c>
      <c r="Z168" s="53">
        <v>1</v>
      </c>
      <c r="AA168" s="53">
        <v>5</v>
      </c>
      <c r="AB168" s="53">
        <v>3</v>
      </c>
      <c r="AC168" s="53">
        <v>3</v>
      </c>
      <c r="AD168" s="53">
        <v>3</v>
      </c>
      <c r="AE168" s="53">
        <v>3</v>
      </c>
      <c r="AF168" s="53">
        <v>2</v>
      </c>
      <c r="AG168" s="34">
        <f t="shared" ref="AG168:AG172" si="36">SUM(B168:AF168)</f>
        <v>0</v>
      </c>
    </row>
    <row r="169" spans="1:33" x14ac:dyDescent="0.25">
      <c r="A169" s="58" t="s">
        <v>125</v>
      </c>
      <c r="B169" s="53">
        <v>4</v>
      </c>
      <c r="C169" s="53">
        <v>5</v>
      </c>
      <c r="D169" s="53">
        <v>2</v>
      </c>
      <c r="E169" s="53">
        <v>2</v>
      </c>
      <c r="F169" s="53">
        <v>0</v>
      </c>
      <c r="G169" s="53">
        <v>5</v>
      </c>
      <c r="H169" s="53">
        <v>0</v>
      </c>
      <c r="I169" s="53">
        <v>4</v>
      </c>
      <c r="J169" s="53">
        <v>3</v>
      </c>
      <c r="K169" s="53">
        <v>5</v>
      </c>
      <c r="L169" s="53">
        <v>4</v>
      </c>
      <c r="M169" s="53">
        <v>1</v>
      </c>
      <c r="N169" s="53">
        <v>5</v>
      </c>
      <c r="O169" s="53">
        <v>1</v>
      </c>
      <c r="P169" s="53">
        <v>3</v>
      </c>
      <c r="Q169" s="53">
        <v>0</v>
      </c>
      <c r="R169" s="53">
        <v>3</v>
      </c>
      <c r="S169" s="53">
        <v>4</v>
      </c>
      <c r="T169" s="53">
        <v>4</v>
      </c>
      <c r="U169" s="53">
        <v>0</v>
      </c>
      <c r="V169" s="53">
        <v>4</v>
      </c>
      <c r="W169" s="53">
        <v>0</v>
      </c>
      <c r="X169" s="53">
        <v>0</v>
      </c>
      <c r="Y169" s="53">
        <v>3</v>
      </c>
      <c r="Z169" s="53">
        <v>4</v>
      </c>
      <c r="AA169" s="53">
        <v>4</v>
      </c>
      <c r="AB169" s="53">
        <v>4</v>
      </c>
      <c r="AC169" s="53">
        <v>4</v>
      </c>
      <c r="AD169" s="53">
        <v>1</v>
      </c>
      <c r="AE169" s="53">
        <v>4</v>
      </c>
      <c r="AF169" s="53">
        <v>2</v>
      </c>
      <c r="AG169" s="34">
        <f t="shared" si="36"/>
        <v>0</v>
      </c>
    </row>
    <row r="170" spans="1:33" x14ac:dyDescent="0.25">
      <c r="A170" s="58" t="s">
        <v>126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34">
        <f t="shared" si="36"/>
        <v>0</v>
      </c>
    </row>
    <row r="171" spans="1:33" x14ac:dyDescent="0.25">
      <c r="A171" s="58" t="s">
        <v>127</v>
      </c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34">
        <f t="shared" si="36"/>
        <v>0</v>
      </c>
    </row>
    <row r="172" spans="1:33" x14ac:dyDescent="0.25">
      <c r="A172" s="58" t="s">
        <v>128</v>
      </c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34">
        <f t="shared" si="36"/>
        <v>0</v>
      </c>
    </row>
    <row r="173" spans="1:33" x14ac:dyDescent="0.25">
      <c r="A173" s="61" t="s">
        <v>130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 spans="1:33" x14ac:dyDescent="0.25">
      <c r="A174" s="61" t="s">
        <v>131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 spans="1:3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 spans="1:3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 spans="1:33" x14ac:dyDescent="0.25">
      <c r="A177" s="62" t="s">
        <v>132</v>
      </c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</row>
    <row r="178" spans="1:33" x14ac:dyDescent="0.25">
      <c r="A178" s="2" t="s">
        <v>133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62"/>
    </row>
    <row r="179" spans="1:3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 spans="1:3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 spans="1:3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 spans="1:33" x14ac:dyDescent="0.2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13"/>
    </row>
    <row r="183" spans="1:33" x14ac:dyDescent="0.2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13"/>
    </row>
    <row r="184" spans="1:3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 spans="1:3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 spans="1:33" x14ac:dyDescent="0.2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13"/>
    </row>
    <row r="187" spans="1:33" x14ac:dyDescent="0.2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13"/>
    </row>
    <row r="188" spans="1:3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 spans="1:3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 spans="33:33" x14ac:dyDescent="0.25">
      <c r="AG190" s="13"/>
    </row>
    <row r="191" spans="1:3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 spans="1: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 spans="1:3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 spans="1:3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 spans="1:3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 spans="1:3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 spans="1:3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64" t="s">
        <v>134</v>
      </c>
      <c r="B1" s="65"/>
    </row>
    <row r="2" spans="1:2" x14ac:dyDescent="0.25">
      <c r="A2" s="64"/>
      <c r="B2" s="65"/>
    </row>
    <row r="3" spans="1:2" x14ac:dyDescent="0.25">
      <c r="A3" s="66" t="str">
        <f>'Name of Establishment'!A3:AG3</f>
        <v>Region: __4-A</v>
      </c>
      <c r="B3" s="67"/>
    </row>
    <row r="4" spans="1:2" x14ac:dyDescent="0.25">
      <c r="A4" s="68" t="str">
        <f>'Name of Establishment'!A4:AG4</f>
        <v>____________________________________</v>
      </c>
      <c r="B4" s="68"/>
    </row>
    <row r="5" spans="1:2" x14ac:dyDescent="0.25">
      <c r="A5" s="69" t="s">
        <v>3</v>
      </c>
      <c r="B5" s="70"/>
    </row>
    <row r="6" ht="15.6" customHeight="1" spans="1:2" x14ac:dyDescent="0.25">
      <c r="A6" s="71"/>
      <c r="B6" s="72"/>
    </row>
    <row r="7" ht="15.6" customHeight="1" spans="1:2" s="73" customFormat="1" x14ac:dyDescent="0.25">
      <c r="A7" s="74" t="s">
        <v>4</v>
      </c>
      <c r="B7" s="74"/>
    </row>
    <row r="8" spans="1:2" x14ac:dyDescent="0.25">
      <c r="A8" s="75"/>
      <c r="B8" s="75"/>
    </row>
    <row r="9" spans="1:2" x14ac:dyDescent="0.25">
      <c r="A9" s="76" t="s">
        <v>5</v>
      </c>
      <c r="B9" s="65"/>
    </row>
    <row r="10" spans="1:2" x14ac:dyDescent="0.25">
      <c r="A10" s="64" t="s">
        <v>6</v>
      </c>
      <c r="B10" s="77"/>
    </row>
    <row r="11" spans="1:2" x14ac:dyDescent="0.25">
      <c r="A11" s="64" t="s">
        <v>7</v>
      </c>
      <c r="B11" s="78"/>
    </row>
    <row r="12" spans="1:2" x14ac:dyDescent="0.25">
      <c r="A12" s="64" t="s">
        <v>8</v>
      </c>
      <c r="B12" s="77"/>
    </row>
    <row r="13" spans="1:2" x14ac:dyDescent="0.25">
      <c r="A13" s="64" t="s">
        <v>9</v>
      </c>
      <c r="B13" s="77"/>
    </row>
    <row r="14" spans="1:2" x14ac:dyDescent="0.25">
      <c r="A14" s="64" t="s">
        <v>10</v>
      </c>
      <c r="B14" s="77"/>
    </row>
    <row r="15" spans="1:2" x14ac:dyDescent="0.25">
      <c r="A15" s="64" t="s">
        <v>11</v>
      </c>
      <c r="B15" s="77"/>
    </row>
    <row r="16" spans="1:2" x14ac:dyDescent="0.25">
      <c r="A16" s="64"/>
      <c r="B16" s="65"/>
    </row>
    <row r="17" spans="1:2" x14ac:dyDescent="0.25">
      <c r="A17" s="76" t="str">
        <f>'Name of Establishment'!A17</f>
        <v>DOT Accreditation Classification: _____________________________</v>
      </c>
      <c r="B17" s="65"/>
    </row>
    <row r="18" spans="1:2" x14ac:dyDescent="0.25">
      <c r="A18" s="65"/>
      <c r="B18" s="65"/>
    </row>
    <row r="19" spans="1:2" x14ac:dyDescent="0.25">
      <c r="A19" s="76" t="str">
        <f>'Name of Establishment'!A19</f>
        <v>AE ID Code (LGU Assigned): _________________________________________</v>
      </c>
      <c r="B19" s="65"/>
    </row>
    <row r="20" spans="1:2" x14ac:dyDescent="0.25">
      <c r="A20" s="76" t="str">
        <f>'Name of Establishment'!A20</f>
        <v>AE ID Code (LGU Assigned): ____________________________________________</v>
      </c>
      <c r="B20" s="65"/>
    </row>
    <row r="21" spans="1:2" x14ac:dyDescent="0.25">
      <c r="A21" s="76"/>
      <c r="B21" s="75"/>
    </row>
    <row r="22" spans="1:2" x14ac:dyDescent="0.25">
      <c r="A22" s="76" t="str">
        <f>'Name of Establishment'!A22</f>
        <v>City/Municipality: ___________________</v>
      </c>
      <c r="B22" s="65"/>
    </row>
    <row r="23" spans="1:2" x14ac:dyDescent="0.25">
      <c r="A23" s="76" t="str">
        <f>'Name of Establishment'!A23</f>
        <v>Province: _____________________</v>
      </c>
      <c r="B23" s="65"/>
    </row>
    <row r="24" spans="1:2" x14ac:dyDescent="0.25">
      <c r="A24" s="65"/>
      <c r="B24" s="65"/>
    </row>
    <row r="25" spans="1:2" s="79" customFormat="1" x14ac:dyDescent="0.25">
      <c r="A25" s="80" t="s">
        <v>17</v>
      </c>
      <c r="B25" s="81" t="s">
        <v>18</v>
      </c>
    </row>
    <row r="26" spans="1:2" s="82" customFormat="1" x14ac:dyDescent="0.25">
      <c r="A26" s="83"/>
      <c r="B26" s="84"/>
    </row>
    <row r="27" spans="1:2" s="85" customFormat="1" x14ac:dyDescent="0.25">
      <c r="A27" s="86" t="s">
        <v>19</v>
      </c>
      <c r="B27" s="87"/>
    </row>
    <row r="28" spans="1:2" x14ac:dyDescent="0.25">
      <c r="A28" s="88" t="s">
        <v>20</v>
      </c>
      <c r="B28" s="89">
        <f>'Name of Establishment'!AG28</f>
        <v>0</v>
      </c>
    </row>
    <row r="29" spans="1:2" x14ac:dyDescent="0.25">
      <c r="A29" s="88" t="s">
        <v>21</v>
      </c>
      <c r="B29" s="89">
        <f>'Name of Establishment'!AG29</f>
        <v>0</v>
      </c>
    </row>
    <row r="30" spans="1:2" s="90" customFormat="1" x14ac:dyDescent="0.25">
      <c r="A30" s="47" t="s">
        <v>22</v>
      </c>
      <c r="B30" s="89">
        <f>'Name of Establishment'!AG30</f>
        <v>0</v>
      </c>
    </row>
    <row r="31" spans="1:2" s="82" customFormat="1" x14ac:dyDescent="0.25">
      <c r="A31" s="46"/>
      <c r="B31" s="91"/>
    </row>
    <row r="32" spans="1:2" s="85" customFormat="1" x14ac:dyDescent="0.25">
      <c r="A32" s="86" t="s">
        <v>23</v>
      </c>
      <c r="B32" s="87"/>
    </row>
    <row r="33" spans="1:2" s="82" customFormat="1" x14ac:dyDescent="0.25">
      <c r="A33" s="46"/>
      <c r="B33" s="91"/>
    </row>
    <row r="34" spans="1:2" s="85" customFormat="1" x14ac:dyDescent="0.25">
      <c r="A34" s="86" t="s">
        <v>25</v>
      </c>
      <c r="B34" s="87"/>
    </row>
    <row r="35" spans="1:2" s="85" customFormat="1" x14ac:dyDescent="0.25">
      <c r="A35" s="45" t="s">
        <v>26</v>
      </c>
      <c r="B35" s="87"/>
    </row>
    <row r="36" spans="1:2" x14ac:dyDescent="0.25">
      <c r="A36" s="88" t="s">
        <v>27</v>
      </c>
      <c r="B36" s="89">
        <f>'Name of Establishment'!AG36</f>
        <v>0</v>
      </c>
    </row>
    <row r="37" spans="1:2" x14ac:dyDescent="0.25">
      <c r="A37" s="88" t="s">
        <v>28</v>
      </c>
      <c r="B37" s="89">
        <f>'Name of Establishment'!AG37</f>
        <v>0</v>
      </c>
    </row>
    <row r="38" spans="1:2" x14ac:dyDescent="0.25">
      <c r="A38" s="88" t="s">
        <v>29</v>
      </c>
      <c r="B38" s="89">
        <f>'Name of Establishment'!AG38</f>
        <v>0</v>
      </c>
    </row>
    <row r="39" spans="1:2" x14ac:dyDescent="0.25">
      <c r="A39" s="88" t="s">
        <v>30</v>
      </c>
      <c r="B39" s="89">
        <f>'Name of Establishment'!AG39</f>
        <v>0</v>
      </c>
    </row>
    <row r="40" spans="1:2" x14ac:dyDescent="0.25">
      <c r="A40" s="88" t="s">
        <v>31</v>
      </c>
      <c r="B40" s="89">
        <f>'Name of Establishment'!AG40</f>
        <v>0</v>
      </c>
    </row>
    <row r="41" spans="1:2" x14ac:dyDescent="0.25">
      <c r="A41" s="88" t="s">
        <v>32</v>
      </c>
      <c r="B41" s="89">
        <f>'Name of Establishment'!AG41</f>
        <v>0</v>
      </c>
    </row>
    <row r="42" spans="1:2" x14ac:dyDescent="0.25">
      <c r="A42" s="88" t="s">
        <v>33</v>
      </c>
      <c r="B42" s="89">
        <f>'Name of Establishment'!AG42</f>
        <v>0</v>
      </c>
    </row>
    <row r="43" spans="1:2" x14ac:dyDescent="0.25">
      <c r="A43" s="88" t="s">
        <v>34</v>
      </c>
      <c r="B43" s="89">
        <f>'Name of Establishment'!AG43</f>
        <v>0</v>
      </c>
    </row>
    <row r="44" spans="1:2" x14ac:dyDescent="0.25">
      <c r="A44" s="88" t="s">
        <v>35</v>
      </c>
      <c r="B44" s="89">
        <f>'Name of Establishment'!AG44</f>
        <v>0</v>
      </c>
    </row>
    <row r="45" spans="1:2" s="92" customFormat="1" x14ac:dyDescent="0.25">
      <c r="A45" s="93" t="s">
        <v>36</v>
      </c>
      <c r="B45" s="89">
        <f>'Name of Establishment'!AG45</f>
        <v>0</v>
      </c>
    </row>
    <row r="46" spans="1:2" s="82" customFormat="1" x14ac:dyDescent="0.25">
      <c r="A46" s="94"/>
      <c r="B46" s="91"/>
    </row>
    <row r="47" spans="1:2" s="95" customFormat="1" x14ac:dyDescent="0.25">
      <c r="A47" s="45" t="s">
        <v>37</v>
      </c>
      <c r="B47" s="87"/>
    </row>
    <row r="48" spans="1:2" x14ac:dyDescent="0.25">
      <c r="A48" s="88" t="s">
        <v>38</v>
      </c>
      <c r="B48" s="89">
        <f>'Name of Establishment'!AG48</f>
        <v>0</v>
      </c>
    </row>
    <row r="49" spans="1:2" x14ac:dyDescent="0.25">
      <c r="A49" s="88" t="s">
        <v>39</v>
      </c>
      <c r="B49" s="89">
        <f>'Name of Establishment'!AG49</f>
        <v>0</v>
      </c>
    </row>
    <row r="50" spans="1:2" x14ac:dyDescent="0.25">
      <c r="A50" s="88" t="s">
        <v>40</v>
      </c>
      <c r="B50" s="89">
        <f>'Name of Establishment'!AG50</f>
        <v>0</v>
      </c>
    </row>
    <row r="51" spans="1:2" x14ac:dyDescent="0.25">
      <c r="A51" s="88" t="s">
        <v>41</v>
      </c>
      <c r="B51" s="89">
        <f>'Name of Establishment'!AG51</f>
        <v>0</v>
      </c>
    </row>
    <row r="52" spans="1:2" x14ac:dyDescent="0.25">
      <c r="A52" s="88" t="s">
        <v>42</v>
      </c>
      <c r="B52" s="89">
        <f>'Name of Establishment'!AG52</f>
        <v>0</v>
      </c>
    </row>
    <row r="53" spans="1:2" s="92" customFormat="1" x14ac:dyDescent="0.25">
      <c r="A53" s="93" t="s">
        <v>43</v>
      </c>
      <c r="B53" s="89">
        <f>'Name of Establishment'!AG53</f>
        <v>0</v>
      </c>
    </row>
    <row r="54" spans="1:2" s="82" customFormat="1" x14ac:dyDescent="0.25">
      <c r="A54" s="94"/>
      <c r="B54" s="91"/>
    </row>
    <row r="55" spans="1:2" s="85" customFormat="1" x14ac:dyDescent="0.25">
      <c r="A55" s="45" t="s">
        <v>44</v>
      </c>
      <c r="B55" s="87"/>
    </row>
    <row r="56" spans="1:2" x14ac:dyDescent="0.25">
      <c r="A56" s="88" t="s">
        <v>45</v>
      </c>
      <c r="B56" s="89">
        <f>'Name of Establishment'!AG56</f>
        <v>0</v>
      </c>
    </row>
    <row r="57" spans="1:2" x14ac:dyDescent="0.25">
      <c r="A57" s="88" t="s">
        <v>46</v>
      </c>
      <c r="B57" s="89">
        <f>'Name of Establishment'!AG57</f>
        <v>0</v>
      </c>
    </row>
    <row r="58" spans="1:2" x14ac:dyDescent="0.25">
      <c r="A58" s="88" t="s">
        <v>47</v>
      </c>
      <c r="B58" s="89">
        <f>'Name of Establishment'!AG58</f>
        <v>0</v>
      </c>
    </row>
    <row r="59" spans="1:2" x14ac:dyDescent="0.25">
      <c r="A59" s="88" t="s">
        <v>48</v>
      </c>
      <c r="B59" s="89">
        <f>'Name of Establishment'!AG59</f>
        <v>0</v>
      </c>
    </row>
    <row r="60" spans="1:2" x14ac:dyDescent="0.25">
      <c r="A60" s="88" t="s">
        <v>49</v>
      </c>
      <c r="B60" s="89">
        <f>'Name of Establishment'!AG60</f>
        <v>0</v>
      </c>
    </row>
    <row r="61" spans="1:2" x14ac:dyDescent="0.25">
      <c r="A61" s="88" t="s">
        <v>50</v>
      </c>
      <c r="B61" s="89">
        <f>'Name of Establishment'!AG61</f>
        <v>0</v>
      </c>
    </row>
    <row r="62" spans="1:2" s="92" customFormat="1" x14ac:dyDescent="0.25">
      <c r="A62" s="93" t="s">
        <v>36</v>
      </c>
      <c r="B62" s="89">
        <f>'Name of Establishment'!AG62</f>
        <v>0</v>
      </c>
    </row>
    <row r="63" spans="1:2" s="82" customFormat="1" x14ac:dyDescent="0.25">
      <c r="A63" s="94"/>
      <c r="B63" s="91"/>
    </row>
    <row r="64" spans="1:2" s="85" customFormat="1" x14ac:dyDescent="0.25">
      <c r="A64" s="45" t="s">
        <v>51</v>
      </c>
      <c r="B64" s="87"/>
    </row>
    <row r="65" spans="1:2" x14ac:dyDescent="0.25">
      <c r="A65" s="88" t="s">
        <v>52</v>
      </c>
      <c r="B65" s="89">
        <f>'Name of Establishment'!AG65</f>
        <v>0</v>
      </c>
    </row>
    <row r="66" spans="1:2" x14ac:dyDescent="0.25">
      <c r="A66" s="88" t="s">
        <v>53</v>
      </c>
      <c r="B66" s="89">
        <f>'Name of Establishment'!AG66</f>
        <v>0</v>
      </c>
    </row>
    <row r="67" spans="1:2" x14ac:dyDescent="0.25">
      <c r="A67" s="88" t="s">
        <v>54</v>
      </c>
      <c r="B67" s="89">
        <f>'Name of Establishment'!AG67</f>
        <v>0</v>
      </c>
    </row>
    <row r="68" spans="1:2" x14ac:dyDescent="0.25">
      <c r="A68" s="88" t="s">
        <v>55</v>
      </c>
      <c r="B68" s="89">
        <f>'Name of Establishment'!AG68</f>
        <v>0</v>
      </c>
    </row>
    <row r="69" spans="1:2" x14ac:dyDescent="0.25">
      <c r="A69" s="88" t="s">
        <v>56</v>
      </c>
      <c r="B69" s="89">
        <f>'Name of Establishment'!AG69</f>
        <v>0</v>
      </c>
    </row>
    <row r="70" spans="1:2" x14ac:dyDescent="0.25">
      <c r="A70" s="88" t="s">
        <v>57</v>
      </c>
      <c r="B70" s="89">
        <f>'Name of Establishment'!AG70</f>
        <v>0</v>
      </c>
    </row>
    <row r="71" spans="1:2" x14ac:dyDescent="0.25">
      <c r="A71" s="88" t="s">
        <v>58</v>
      </c>
      <c r="B71" s="89">
        <f>'Name of Establishment'!AG71</f>
        <v>0</v>
      </c>
    </row>
    <row r="72" spans="1:2" s="92" customFormat="1" x14ac:dyDescent="0.25">
      <c r="A72" s="93" t="s">
        <v>36</v>
      </c>
      <c r="B72" s="89">
        <f>'Name of Establishment'!AG72</f>
        <v>0</v>
      </c>
    </row>
    <row r="73" spans="1:2" s="82" customFormat="1" x14ac:dyDescent="0.25">
      <c r="A73" s="96"/>
      <c r="B73" s="91"/>
    </row>
    <row r="74" spans="1:2" s="79" customFormat="1" x14ac:dyDescent="0.25">
      <c r="A74" s="80" t="s">
        <v>17</v>
      </c>
      <c r="B74" s="81" t="s">
        <v>18</v>
      </c>
    </row>
    <row r="75" spans="1:2" s="85" customFormat="1" x14ac:dyDescent="0.25">
      <c r="A75" s="86" t="s">
        <v>59</v>
      </c>
      <c r="B75" s="87"/>
    </row>
    <row r="76" spans="1:2" s="85" customFormat="1" x14ac:dyDescent="0.25">
      <c r="A76" s="45" t="s">
        <v>60</v>
      </c>
      <c r="B76" s="87"/>
    </row>
    <row r="77" spans="1:2" x14ac:dyDescent="0.25">
      <c r="A77" s="88" t="s">
        <v>61</v>
      </c>
      <c r="B77" s="89">
        <f>'Name of Establishment'!AG77</f>
        <v>0</v>
      </c>
    </row>
    <row r="78" spans="1:2" x14ac:dyDescent="0.25">
      <c r="A78" s="88" t="s">
        <v>62</v>
      </c>
      <c r="B78" s="89">
        <f>'Name of Establishment'!AG78</f>
        <v>0</v>
      </c>
    </row>
    <row r="79" spans="1:2" x14ac:dyDescent="0.25">
      <c r="A79" s="88" t="s">
        <v>63</v>
      </c>
      <c r="B79" s="89">
        <f>'Name of Establishment'!AG79</f>
        <v>0</v>
      </c>
    </row>
    <row r="80" spans="1:2" s="92" customFormat="1" x14ac:dyDescent="0.25">
      <c r="A80" s="93" t="s">
        <v>36</v>
      </c>
      <c r="B80" s="89">
        <f>'Name of Establishment'!AG80</f>
        <v>0</v>
      </c>
    </row>
    <row r="81" spans="1:2" s="82" customFormat="1" x14ac:dyDescent="0.25">
      <c r="A81" s="94"/>
      <c r="B81" s="91"/>
    </row>
    <row r="82" spans="1:2" s="85" customFormat="1" x14ac:dyDescent="0.25">
      <c r="A82" s="45" t="s">
        <v>64</v>
      </c>
      <c r="B82" s="87"/>
    </row>
    <row r="83" spans="1:2" x14ac:dyDescent="0.25">
      <c r="A83" s="88" t="s">
        <v>65</v>
      </c>
      <c r="B83" s="89">
        <f>'Name of Establishment'!AG83</f>
        <v>0</v>
      </c>
    </row>
    <row r="84" spans="1:2" x14ac:dyDescent="0.25">
      <c r="A84" s="88" t="s">
        <v>66</v>
      </c>
      <c r="B84" s="89">
        <f>'Name of Establishment'!AG84</f>
        <v>0</v>
      </c>
    </row>
    <row r="85" spans="1:2" x14ac:dyDescent="0.25">
      <c r="A85" s="88" t="s">
        <v>67</v>
      </c>
      <c r="B85" s="89">
        <f>'Name of Establishment'!AG85</f>
        <v>0</v>
      </c>
    </row>
    <row r="86" spans="1:2" x14ac:dyDescent="0.25">
      <c r="A86" s="88" t="s">
        <v>68</v>
      </c>
      <c r="B86" s="89">
        <f>'Name of Establishment'!AG86</f>
        <v>0</v>
      </c>
    </row>
    <row r="87" spans="1:2" x14ac:dyDescent="0.25">
      <c r="A87" s="88" t="s">
        <v>69</v>
      </c>
      <c r="B87" s="89">
        <f>'Name of Establishment'!AG87</f>
        <v>0</v>
      </c>
    </row>
    <row r="88" spans="1:2" s="92" customFormat="1" x14ac:dyDescent="0.25">
      <c r="A88" s="93" t="s">
        <v>43</v>
      </c>
      <c r="B88" s="89">
        <f>'Name of Establishment'!AG88</f>
        <v>0</v>
      </c>
    </row>
    <row r="89" spans="1:2" s="82" customFormat="1" x14ac:dyDescent="0.25">
      <c r="A89" s="48"/>
      <c r="B89" s="91"/>
    </row>
    <row r="90" spans="1:2" s="85" customFormat="1" x14ac:dyDescent="0.25">
      <c r="A90" s="86" t="s">
        <v>70</v>
      </c>
      <c r="B90" s="87"/>
    </row>
    <row r="91" spans="1:2" s="85" customFormat="1" x14ac:dyDescent="0.25">
      <c r="A91" s="45" t="s">
        <v>71</v>
      </c>
      <c r="B91" s="87"/>
    </row>
    <row r="92" spans="1:2" x14ac:dyDescent="0.25">
      <c r="A92" s="88" t="s">
        <v>72</v>
      </c>
      <c r="B92" s="89">
        <f>'Name of Establishment'!AG92</f>
        <v>0</v>
      </c>
    </row>
    <row r="93" spans="1:2" x14ac:dyDescent="0.25">
      <c r="A93" s="88" t="s">
        <v>73</v>
      </c>
      <c r="B93" s="89">
        <f>'Name of Establishment'!AG93</f>
        <v>0</v>
      </c>
    </row>
    <row r="94" spans="1:2" x14ac:dyDescent="0.25">
      <c r="A94" s="88" t="s">
        <v>74</v>
      </c>
      <c r="B94" s="89">
        <f>'Name of Establishment'!AG94</f>
        <v>0</v>
      </c>
    </row>
    <row r="95" spans="1:2" x14ac:dyDescent="0.25">
      <c r="A95" s="88" t="s">
        <v>75</v>
      </c>
      <c r="B95" s="89">
        <f>'Name of Establishment'!AG95</f>
        <v>0</v>
      </c>
    </row>
    <row r="96" spans="1:2" x14ac:dyDescent="0.25">
      <c r="A96" s="88" t="s">
        <v>76</v>
      </c>
      <c r="B96" s="89">
        <f>'Name of Establishment'!AG96</f>
        <v>0</v>
      </c>
    </row>
    <row r="97" spans="1:2" x14ac:dyDescent="0.25">
      <c r="A97" s="88" t="s">
        <v>77</v>
      </c>
      <c r="B97" s="89">
        <f>'Name of Establishment'!AG97</f>
        <v>0</v>
      </c>
    </row>
    <row r="98" spans="1:2" x14ac:dyDescent="0.25">
      <c r="A98" s="88" t="s">
        <v>78</v>
      </c>
      <c r="B98" s="89">
        <f>'Name of Establishment'!AG98</f>
        <v>0</v>
      </c>
    </row>
    <row r="99" spans="1:2" s="92" customFormat="1" x14ac:dyDescent="0.25">
      <c r="A99" s="93" t="s">
        <v>36</v>
      </c>
      <c r="B99" s="89">
        <f>'Name of Establishment'!AG99</f>
        <v>0</v>
      </c>
    </row>
    <row r="100" spans="1:2" s="82" customFormat="1" x14ac:dyDescent="0.25">
      <c r="A100" s="94"/>
      <c r="B100" s="91"/>
    </row>
    <row r="101" spans="1:2" s="85" customFormat="1" x14ac:dyDescent="0.25">
      <c r="A101" s="45" t="s">
        <v>79</v>
      </c>
      <c r="B101" s="87"/>
    </row>
    <row r="102" spans="1:2" x14ac:dyDescent="0.25">
      <c r="A102" s="88" t="s">
        <v>80</v>
      </c>
      <c r="B102" s="89">
        <f>'Name of Establishment'!AG102</f>
        <v>0</v>
      </c>
    </row>
    <row r="103" spans="1:2" x14ac:dyDescent="0.25">
      <c r="A103" s="88" t="s">
        <v>81</v>
      </c>
      <c r="B103" s="89">
        <f>'Name of Establishment'!AG103</f>
        <v>0</v>
      </c>
    </row>
    <row r="104" spans="1:2" x14ac:dyDescent="0.25">
      <c r="A104" s="88" t="s">
        <v>82</v>
      </c>
      <c r="B104" s="89">
        <f>'Name of Establishment'!AG104</f>
        <v>0</v>
      </c>
    </row>
    <row r="105" spans="1:2" x14ac:dyDescent="0.25">
      <c r="A105" s="88" t="s">
        <v>83</v>
      </c>
      <c r="B105" s="89">
        <f>'Name of Establishment'!AG105</f>
        <v>0</v>
      </c>
    </row>
    <row r="106" spans="1:2" x14ac:dyDescent="0.25">
      <c r="A106" s="88" t="s">
        <v>84</v>
      </c>
      <c r="B106" s="89">
        <f>'Name of Establishment'!AG106</f>
        <v>0</v>
      </c>
    </row>
    <row r="107" spans="1:2" x14ac:dyDescent="0.25">
      <c r="A107" s="88" t="s">
        <v>85</v>
      </c>
      <c r="B107" s="89">
        <f>'Name of Establishment'!AG107</f>
        <v>0</v>
      </c>
    </row>
    <row r="108" spans="1:2" s="92" customFormat="1" x14ac:dyDescent="0.25">
      <c r="A108" s="93" t="s">
        <v>36</v>
      </c>
      <c r="B108" s="89">
        <f>'Name of Establishment'!AG108</f>
        <v>0</v>
      </c>
    </row>
    <row r="109" spans="1:2" s="82" customFormat="1" x14ac:dyDescent="0.25">
      <c r="A109" s="94"/>
      <c r="B109" s="91"/>
    </row>
    <row r="110" spans="1:2" s="85" customFormat="1" x14ac:dyDescent="0.25">
      <c r="A110" s="45" t="s">
        <v>86</v>
      </c>
      <c r="B110" s="87"/>
    </row>
    <row r="111" spans="1:2" x14ac:dyDescent="0.25">
      <c r="A111" s="88" t="s">
        <v>87</v>
      </c>
      <c r="B111" s="89">
        <f>'Name of Establishment'!AG111</f>
        <v>0</v>
      </c>
    </row>
    <row r="112" spans="1:2" x14ac:dyDescent="0.25">
      <c r="A112" s="88" t="s">
        <v>88</v>
      </c>
      <c r="B112" s="89">
        <f>'Name of Establishment'!AG112</f>
        <v>0</v>
      </c>
    </row>
    <row r="113" spans="1:2" x14ac:dyDescent="0.25">
      <c r="A113" s="88" t="s">
        <v>89</v>
      </c>
      <c r="B113" s="89">
        <f>'Name of Establishment'!AG113</f>
        <v>0</v>
      </c>
    </row>
    <row r="114" spans="1:2" x14ac:dyDescent="0.25">
      <c r="A114" s="88" t="s">
        <v>90</v>
      </c>
      <c r="B114" s="89">
        <f>'Name of Establishment'!AG114</f>
        <v>0</v>
      </c>
    </row>
    <row r="115" spans="1:2" x14ac:dyDescent="0.25">
      <c r="A115" s="88" t="s">
        <v>91</v>
      </c>
      <c r="B115" s="89">
        <f>'Name of Establishment'!AG115</f>
        <v>0</v>
      </c>
    </row>
    <row r="116" spans="1:2" s="92" customFormat="1" x14ac:dyDescent="0.25">
      <c r="A116" s="93" t="s">
        <v>36</v>
      </c>
      <c r="B116" s="89">
        <f>'Name of Establishment'!AG116</f>
        <v>0</v>
      </c>
    </row>
    <row r="117" spans="1:2" s="82" customFormat="1" x14ac:dyDescent="0.25">
      <c r="A117" s="94"/>
      <c r="B117" s="91"/>
    </row>
    <row r="118" spans="1:2" s="85" customFormat="1" x14ac:dyDescent="0.25">
      <c r="A118" s="45" t="s">
        <v>92</v>
      </c>
      <c r="B118" s="87"/>
    </row>
    <row r="119" spans="1:2" x14ac:dyDescent="0.25">
      <c r="A119" s="88" t="s">
        <v>93</v>
      </c>
      <c r="B119" s="89">
        <f>'Name of Establishment'!AG119</f>
        <v>0</v>
      </c>
    </row>
    <row r="120" spans="1:2" x14ac:dyDescent="0.25">
      <c r="A120" s="88" t="s">
        <v>94</v>
      </c>
      <c r="B120" s="89">
        <f>'Name of Establishment'!AG120</f>
        <v>0</v>
      </c>
    </row>
    <row r="121" spans="1:2" x14ac:dyDescent="0.25">
      <c r="A121" s="88" t="s">
        <v>95</v>
      </c>
      <c r="B121" s="89">
        <f>'Name of Establishment'!AG121</f>
        <v>0</v>
      </c>
    </row>
    <row r="122" spans="1:2" s="92" customFormat="1" x14ac:dyDescent="0.25">
      <c r="A122" s="93" t="s">
        <v>36</v>
      </c>
      <c r="B122" s="89">
        <f>'Name of Establishment'!AG122</f>
        <v>0</v>
      </c>
    </row>
    <row r="123" spans="1:2" s="82" customFormat="1" x14ac:dyDescent="0.25">
      <c r="A123" s="94"/>
      <c r="B123" s="91"/>
    </row>
    <row r="124" spans="1:2" s="85" customFormat="1" x14ac:dyDescent="0.25">
      <c r="A124" s="86" t="s">
        <v>96</v>
      </c>
      <c r="B124" s="87"/>
    </row>
    <row r="125" spans="1:2" x14ac:dyDescent="0.25">
      <c r="A125" s="88" t="s">
        <v>97</v>
      </c>
      <c r="B125" s="89">
        <f>'Name of Establishment'!AG125</f>
        <v>0</v>
      </c>
    </row>
    <row r="126" spans="1:2" x14ac:dyDescent="0.25">
      <c r="A126" s="88" t="s">
        <v>98</v>
      </c>
      <c r="B126" s="89">
        <f>'Name of Establishment'!AG126</f>
        <v>0</v>
      </c>
    </row>
    <row r="127" spans="1:2" x14ac:dyDescent="0.25">
      <c r="A127" s="88" t="s">
        <v>99</v>
      </c>
      <c r="B127" s="89">
        <f>'Name of Establishment'!AG127</f>
        <v>0</v>
      </c>
    </row>
    <row r="128" spans="1:2" x14ac:dyDescent="0.25">
      <c r="A128" s="88" t="s">
        <v>100</v>
      </c>
      <c r="B128" s="89">
        <f>'Name of Establishment'!AG128</f>
        <v>0</v>
      </c>
    </row>
    <row r="129" spans="1:2" x14ac:dyDescent="0.25">
      <c r="A129" s="88" t="s">
        <v>101</v>
      </c>
      <c r="B129" s="89">
        <f>'Name of Establishment'!AG129</f>
        <v>0</v>
      </c>
    </row>
    <row r="130" spans="1:2" s="92" customFormat="1" x14ac:dyDescent="0.25">
      <c r="A130" s="93" t="s">
        <v>36</v>
      </c>
      <c r="B130" s="89">
        <f>'Name of Establishment'!AG130</f>
        <v>0</v>
      </c>
    </row>
    <row r="131" spans="1:2" s="82" customFormat="1" x14ac:dyDescent="0.25">
      <c r="A131" s="96"/>
      <c r="B131" s="91"/>
    </row>
    <row r="132" spans="1:2" s="79" customFormat="1" x14ac:dyDescent="0.25">
      <c r="A132" s="80" t="s">
        <v>17</v>
      </c>
      <c r="B132" s="81" t="s">
        <v>18</v>
      </c>
    </row>
    <row r="133" spans="1:2" s="82" customFormat="1" x14ac:dyDescent="0.25">
      <c r="A133" s="46"/>
      <c r="B133" s="84"/>
    </row>
    <row r="134" spans="1:2" s="85" customFormat="1" x14ac:dyDescent="0.25">
      <c r="A134" s="86" t="s">
        <v>102</v>
      </c>
      <c r="B134" s="87"/>
    </row>
    <row r="135" spans="1:2" x14ac:dyDescent="0.25">
      <c r="A135" s="88" t="s">
        <v>103</v>
      </c>
      <c r="B135" s="89">
        <f>'Name of Establishment'!AG135</f>
        <v>0</v>
      </c>
    </row>
    <row r="136" spans="1:2" x14ac:dyDescent="0.25">
      <c r="A136" s="88" t="s">
        <v>104</v>
      </c>
      <c r="B136" s="89">
        <f>'Name of Establishment'!AG136</f>
        <v>0</v>
      </c>
    </row>
    <row r="137" spans="1:2" s="92" customFormat="1" x14ac:dyDescent="0.25">
      <c r="A137" s="93" t="s">
        <v>36</v>
      </c>
      <c r="B137" s="89">
        <f>'Name of Establishment'!AG137</f>
        <v>0</v>
      </c>
    </row>
    <row r="138" spans="1:2" s="82" customFormat="1" x14ac:dyDescent="0.25">
      <c r="A138" s="48"/>
      <c r="B138" s="91"/>
    </row>
    <row r="139" spans="1:2" s="85" customFormat="1" x14ac:dyDescent="0.25">
      <c r="A139" s="45" t="s">
        <v>105</v>
      </c>
      <c r="B139" s="87"/>
    </row>
    <row r="140" spans="1:2" x14ac:dyDescent="0.25">
      <c r="A140" s="45" t="s">
        <v>106</v>
      </c>
      <c r="B140" s="89">
        <f>'Name of Establishment'!AG139</f>
        <v>0</v>
      </c>
    </row>
    <row r="141" spans="1:2" s="82" customFormat="1" x14ac:dyDescent="0.25">
      <c r="A141" s="46"/>
      <c r="B141" s="91"/>
    </row>
    <row r="142" spans="1:2" s="90" customFormat="1" x14ac:dyDescent="0.25">
      <c r="A142" s="47" t="s">
        <v>107</v>
      </c>
      <c r="B142" s="89">
        <f>'Name of Establishment'!AG141</f>
        <v>0</v>
      </c>
    </row>
    <row r="143" spans="1:2" x14ac:dyDescent="0.25">
      <c r="A143" s="48"/>
      <c r="B143" s="91"/>
    </row>
    <row r="144" spans="1:2" x14ac:dyDescent="0.25">
      <c r="A144" s="45" t="s">
        <v>108</v>
      </c>
      <c r="B144" s="89">
        <f>'Name of Establishment'!AG143</f>
        <v>0</v>
      </c>
    </row>
    <row r="145" spans="1:2" s="82" customFormat="1" x14ac:dyDescent="0.25">
      <c r="A145" s="46"/>
      <c r="B145" s="83"/>
    </row>
    <row r="146" spans="1:2" x14ac:dyDescent="0.25">
      <c r="A146" s="49" t="s">
        <v>109</v>
      </c>
      <c r="B146" s="89">
        <f>'Name of Establishment'!AG145</f>
        <v>0</v>
      </c>
    </row>
    <row r="147" spans="1:2" x14ac:dyDescent="0.25">
      <c r="A147" s="52" t="s">
        <v>110</v>
      </c>
      <c r="B147" s="89">
        <f>'Name of Establishment'!AG146</f>
        <v>0</v>
      </c>
    </row>
    <row r="148" spans="1:2" x14ac:dyDescent="0.25">
      <c r="A148" s="52" t="s">
        <v>111</v>
      </c>
      <c r="B148" s="89">
        <f>'Name of Establishment'!AG147</f>
        <v>0</v>
      </c>
    </row>
    <row r="149" spans="1:2" x14ac:dyDescent="0.25">
      <c r="A149" s="52" t="s">
        <v>112</v>
      </c>
      <c r="B149" s="89">
        <f>'Name of Establishment'!AG148</f>
        <v>0</v>
      </c>
    </row>
    <row r="150" spans="1:2" x14ac:dyDescent="0.25">
      <c r="A150" s="52" t="s">
        <v>113</v>
      </c>
      <c r="B150" s="89">
        <f>'Name of Establishment'!AG149</f>
        <v>0</v>
      </c>
    </row>
    <row r="151" spans="1:2" x14ac:dyDescent="0.25">
      <c r="A151" s="61"/>
      <c r="B151" s="65"/>
    </row>
    <row r="152" ht="15.6" customHeight="1" spans="1:2" x14ac:dyDescent="0.25">
      <c r="A152" s="55" t="s">
        <v>114</v>
      </c>
      <c r="B152" s="89"/>
    </row>
    <row r="153" ht="15.6" customHeight="1" spans="1:2" x14ac:dyDescent="0.25">
      <c r="A153" s="55"/>
      <c r="B153" s="89"/>
    </row>
    <row r="154" ht="15.6" customHeight="1" spans="1:2" x14ac:dyDescent="0.25">
      <c r="A154" s="57" t="s">
        <v>115</v>
      </c>
      <c r="B154" s="97"/>
    </row>
    <row r="155" spans="1:2" x14ac:dyDescent="0.25">
      <c r="A155" s="58" t="s">
        <v>116</v>
      </c>
      <c r="B155" s="58">
        <f>'Name of Establishment'!AG154</f>
        <v>0</v>
      </c>
    </row>
    <row r="156" spans="1:2" x14ac:dyDescent="0.25">
      <c r="A156" s="58" t="s">
        <v>117</v>
      </c>
      <c r="B156" s="58">
        <f>'Name of Establishment'!AG155</f>
        <v>0</v>
      </c>
    </row>
    <row r="157" spans="1:2" x14ac:dyDescent="0.25">
      <c r="A157" s="58" t="s">
        <v>118</v>
      </c>
      <c r="B157" s="58">
        <f>'Name of Establishment'!AG156</f>
        <v>0</v>
      </c>
    </row>
    <row r="158" ht="15.6" customHeight="1" spans="1:2" x14ac:dyDescent="0.25">
      <c r="A158" s="59" t="s">
        <v>119</v>
      </c>
      <c r="B158" s="91"/>
    </row>
    <row r="159" spans="1:2" x14ac:dyDescent="0.25">
      <c r="A159" s="58" t="s">
        <v>120</v>
      </c>
      <c r="B159" s="58">
        <f>'Name of Establishment'!AG158</f>
        <v>0</v>
      </c>
    </row>
    <row r="160" spans="1:2" x14ac:dyDescent="0.25">
      <c r="A160" s="58" t="s">
        <v>121</v>
      </c>
      <c r="B160" s="58">
        <f>'Name of Establishment'!AG159</f>
        <v>0</v>
      </c>
    </row>
    <row r="161" ht="15.6" customHeight="1" spans="1:2" x14ac:dyDescent="0.25">
      <c r="A161" s="57" t="s">
        <v>122</v>
      </c>
      <c r="B161" s="97"/>
    </row>
    <row r="162" spans="1:2" x14ac:dyDescent="0.25">
      <c r="A162" s="60" t="s">
        <v>123</v>
      </c>
      <c r="B162" s="58"/>
    </row>
    <row r="163" spans="1:2" x14ac:dyDescent="0.25">
      <c r="A163" s="58" t="s">
        <v>124</v>
      </c>
      <c r="B163" s="58">
        <f>'Name of Establishment'!AG162</f>
        <v>0</v>
      </c>
    </row>
    <row r="164" spans="1:2" x14ac:dyDescent="0.25">
      <c r="A164" s="58" t="s">
        <v>125</v>
      </c>
      <c r="B164" s="58">
        <f>'Name of Establishment'!AG163</f>
        <v>0</v>
      </c>
    </row>
    <row r="165" spans="1:2" x14ac:dyDescent="0.25">
      <c r="A165" s="58" t="s">
        <v>126</v>
      </c>
      <c r="B165" s="58">
        <f>'Name of Establishment'!AG164</f>
        <v>0</v>
      </c>
    </row>
    <row r="166" spans="1:2" x14ac:dyDescent="0.25">
      <c r="A166" s="58" t="s">
        <v>127</v>
      </c>
      <c r="B166" s="58">
        <f>'Name of Establishment'!AG165</f>
        <v>0</v>
      </c>
    </row>
    <row r="167" spans="1:2" x14ac:dyDescent="0.25">
      <c r="A167" s="58" t="s">
        <v>128</v>
      </c>
      <c r="B167" s="58">
        <f>'Name of Establishment'!AG166</f>
        <v>0</v>
      </c>
    </row>
    <row r="168" spans="1:2" x14ac:dyDescent="0.25">
      <c r="A168" s="60" t="s">
        <v>129</v>
      </c>
      <c r="B168" s="58"/>
    </row>
    <row r="169" spans="1:2" x14ac:dyDescent="0.25">
      <c r="A169" s="58" t="s">
        <v>124</v>
      </c>
      <c r="B169" s="58">
        <f>'Name of Establishment'!AG168</f>
        <v>0</v>
      </c>
    </row>
    <row r="170" spans="1:2" x14ac:dyDescent="0.25">
      <c r="A170" s="58" t="s">
        <v>125</v>
      </c>
      <c r="B170" s="58">
        <f>'Name of Establishment'!AG169</f>
        <v>0</v>
      </c>
    </row>
    <row r="171" spans="1:2" x14ac:dyDescent="0.25">
      <c r="A171" s="58" t="s">
        <v>126</v>
      </c>
      <c r="B171" s="58">
        <f>'Name of Establishment'!AG170</f>
        <v>0</v>
      </c>
    </row>
    <row r="172" spans="1:2" x14ac:dyDescent="0.25">
      <c r="A172" s="58" t="s">
        <v>127</v>
      </c>
      <c r="B172" s="58">
        <f>'Name of Establishment'!AG171</f>
        <v>0</v>
      </c>
    </row>
    <row r="173" spans="1:2" x14ac:dyDescent="0.25">
      <c r="A173" s="58" t="s">
        <v>128</v>
      </c>
      <c r="B173" s="58">
        <f>'Name of Establishment'!AG172</f>
        <v>0</v>
      </c>
    </row>
    <row r="174" spans="1:2" x14ac:dyDescent="0.25">
      <c r="A174" s="61" t="s">
        <v>130</v>
      </c>
      <c r="B174" s="75"/>
    </row>
    <row r="175" spans="1:2" x14ac:dyDescent="0.25">
      <c r="A175" s="61" t="s">
        <v>131</v>
      </c>
      <c r="B175" s="75"/>
    </row>
    <row r="176" spans="1:2" x14ac:dyDescent="0.25">
      <c r="A176" s="75"/>
      <c r="B176" s="64" t="s">
        <v>135</v>
      </c>
    </row>
    <row r="177" spans="1:2" x14ac:dyDescent="0.25">
      <c r="A177" s="98" t="s">
        <v>136</v>
      </c>
      <c r="B177" s="64" t="s">
        <v>137</v>
      </c>
    </row>
    <row r="178" spans="1:2" x14ac:dyDescent="0.25">
      <c r="A178" s="64" t="s">
        <v>138</v>
      </c>
      <c r="B178" s="75"/>
    </row>
    <row r="179" spans="1:2" x14ac:dyDescent="0.25">
      <c r="A179" s="75"/>
      <c r="B179" s="75"/>
    </row>
    <row r="180" spans="1:2" x14ac:dyDescent="0.25">
      <c r="A180" s="64" t="s">
        <v>139</v>
      </c>
      <c r="B180" s="75"/>
    </row>
    <row r="181" spans="1:2" x14ac:dyDescent="0.25">
      <c r="A181" s="64" t="s">
        <v>140</v>
      </c>
      <c r="B181" s="7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64" t="s">
        <v>134</v>
      </c>
      <c r="B1" s="65"/>
    </row>
    <row r="2" spans="1:2" x14ac:dyDescent="0.25">
      <c r="A2" s="64"/>
      <c r="B2" s="65"/>
    </row>
    <row r="3" spans="1:2" x14ac:dyDescent="0.25">
      <c r="A3" s="66" t="str">
        <f>'Name of Establishment'!A3:AG3</f>
        <v>Region: __4-A</v>
      </c>
      <c r="B3" s="67"/>
    </row>
    <row r="4" spans="1:2" x14ac:dyDescent="0.25">
      <c r="A4" s="68" t="str">
        <f>'Name of Establishment'!A4:AG4</f>
        <v>____________________________________</v>
      </c>
      <c r="B4" s="68"/>
    </row>
    <row r="5" spans="1:2" x14ac:dyDescent="0.25">
      <c r="A5" s="69" t="s">
        <v>3</v>
      </c>
      <c r="B5" s="70"/>
    </row>
    <row r="6" ht="15.6" customHeight="1" spans="1:2" x14ac:dyDescent="0.25">
      <c r="A6" s="71"/>
      <c r="B6" s="72"/>
    </row>
    <row r="7" ht="15.6" customHeight="1" spans="1:2" s="73" customFormat="1" x14ac:dyDescent="0.25">
      <c r="A7" s="74" t="s">
        <v>4</v>
      </c>
      <c r="B7" s="74"/>
    </row>
    <row r="8" spans="1:2" x14ac:dyDescent="0.25">
      <c r="A8" s="75"/>
      <c r="B8" s="75"/>
    </row>
    <row r="9" spans="1:2" x14ac:dyDescent="0.25">
      <c r="A9" s="76" t="s">
        <v>5</v>
      </c>
      <c r="B9" s="65"/>
    </row>
    <row r="10" spans="1:2" x14ac:dyDescent="0.25">
      <c r="A10" s="64" t="s">
        <v>6</v>
      </c>
      <c r="B10" s="77"/>
    </row>
    <row r="11" spans="1:2" x14ac:dyDescent="0.25">
      <c r="A11" s="64" t="s">
        <v>7</v>
      </c>
      <c r="B11" s="78"/>
    </row>
    <row r="12" spans="1:2" x14ac:dyDescent="0.25">
      <c r="A12" s="64" t="s">
        <v>8</v>
      </c>
      <c r="B12" s="77"/>
    </row>
    <row r="13" spans="1:2" x14ac:dyDescent="0.25">
      <c r="A13" s="64" t="s">
        <v>9</v>
      </c>
      <c r="B13" s="77"/>
    </row>
    <row r="14" spans="1:2" x14ac:dyDescent="0.25">
      <c r="A14" s="64" t="s">
        <v>10</v>
      </c>
      <c r="B14" s="77"/>
    </row>
    <row r="15" spans="1:2" x14ac:dyDescent="0.25">
      <c r="A15" s="64" t="s">
        <v>11</v>
      </c>
      <c r="B15" s="77"/>
    </row>
    <row r="16" spans="1:2" x14ac:dyDescent="0.25">
      <c r="A16" s="64"/>
      <c r="B16" s="65"/>
    </row>
    <row r="17" spans="1:2" x14ac:dyDescent="0.25">
      <c r="A17" s="76" t="str">
        <f>'Name of Establishment'!A17</f>
        <v>DOT Accreditation Classification: _____________________________</v>
      </c>
      <c r="B17" s="65"/>
    </row>
    <row r="18" spans="1:2" x14ac:dyDescent="0.25">
      <c r="A18" s="65"/>
      <c r="B18" s="65"/>
    </row>
    <row r="19" spans="1:2" x14ac:dyDescent="0.25">
      <c r="A19" s="76" t="str">
        <f>'Name of Establishment'!A19</f>
        <v>AE ID Code (LGU Assigned): _________________________________________</v>
      </c>
      <c r="B19" s="65"/>
    </row>
    <row r="20" spans="1:2" x14ac:dyDescent="0.25">
      <c r="A20" s="76" t="str">
        <f>'Name of Establishment'!A20</f>
        <v>AE ID Code (LGU Assigned): ____________________________________________</v>
      </c>
      <c r="B20" s="65"/>
    </row>
    <row r="21" spans="1:2" x14ac:dyDescent="0.25">
      <c r="A21" s="76"/>
      <c r="B21" s="75"/>
    </row>
    <row r="22" spans="1:2" x14ac:dyDescent="0.25">
      <c r="A22" s="76" t="str">
        <f>'Name of Establishment'!A22</f>
        <v>City/Municipality: ___________________</v>
      </c>
      <c r="B22" s="65"/>
    </row>
    <row r="23" spans="1:2" x14ac:dyDescent="0.25">
      <c r="A23" s="76" t="str">
        <f>'Name of Establishment'!A23</f>
        <v>Province: _____________________</v>
      </c>
      <c r="B23" s="65"/>
    </row>
    <row r="24" spans="1:2" x14ac:dyDescent="0.25">
      <c r="A24" s="65"/>
      <c r="B24" s="65"/>
    </row>
    <row r="25" spans="1:14" x14ac:dyDescent="0.25">
      <c r="A25" s="99" t="s">
        <v>17</v>
      </c>
      <c r="B25" s="100" t="s">
        <v>141</v>
      </c>
      <c r="C25" s="100" t="s">
        <v>142</v>
      </c>
      <c r="D25" s="100" t="s">
        <v>143</v>
      </c>
      <c r="E25" s="100" t="s">
        <v>144</v>
      </c>
      <c r="F25" s="100" t="s">
        <v>145</v>
      </c>
      <c r="G25" s="100" t="s">
        <v>146</v>
      </c>
      <c r="H25" s="100" t="s">
        <v>147</v>
      </c>
      <c r="I25" s="100" t="s">
        <v>148</v>
      </c>
      <c r="J25" s="100" t="s">
        <v>149</v>
      </c>
      <c r="K25" s="100" t="s">
        <v>150</v>
      </c>
      <c r="L25" s="100" t="s">
        <v>151</v>
      </c>
      <c r="M25" s="100" t="s">
        <v>152</v>
      </c>
      <c r="N25" s="101" t="s">
        <v>18</v>
      </c>
    </row>
    <row r="26" spans="1:14" x14ac:dyDescent="0.25">
      <c r="A26" s="102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103"/>
    </row>
    <row r="27" spans="1:14" x14ac:dyDescent="0.25">
      <c r="A27" s="104" t="s">
        <v>19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6"/>
    </row>
    <row r="28" spans="1:14" x14ac:dyDescent="0.25">
      <c r="A28" s="107" t="s">
        <v>20</v>
      </c>
      <c r="B28" s="108">
        <v>774</v>
      </c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>
        <f>SUM(B28:M28)</f>
        <v>0</v>
      </c>
    </row>
    <row r="29" spans="1:14" x14ac:dyDescent="0.25">
      <c r="A29" s="107" t="s">
        <v>21</v>
      </c>
      <c r="B29" s="108">
        <v>89</v>
      </c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9">
        <f t="shared" ref="N29:N30" si="0">SUM(B29:M29)</f>
        <v>0</v>
      </c>
    </row>
    <row r="30" spans="1:14" x14ac:dyDescent="0.25">
      <c r="A30" s="110" t="s">
        <v>22</v>
      </c>
      <c r="B30" s="52">
        <f>SUM(B28:B29)</f>
        <v>0</v>
      </c>
      <c r="C30" s="52">
        <f t="shared" ref="C30:M30" si="1">SUM(C28:C29)</f>
        <v>0</v>
      </c>
      <c r="D30" s="52">
        <f t="shared" si="1"/>
        <v>0</v>
      </c>
      <c r="E30" s="52">
        <f t="shared" si="1"/>
        <v>0</v>
      </c>
      <c r="F30" s="52">
        <f t="shared" si="1"/>
        <v>0</v>
      </c>
      <c r="G30" s="52">
        <f t="shared" si="1"/>
        <v>0</v>
      </c>
      <c r="H30" s="52">
        <f t="shared" si="1"/>
        <v>0</v>
      </c>
      <c r="I30" s="52">
        <f t="shared" si="1"/>
        <v>0</v>
      </c>
      <c r="J30" s="52">
        <f t="shared" si="1"/>
        <v>0</v>
      </c>
      <c r="K30" s="52">
        <f t="shared" si="1"/>
        <v>0</v>
      </c>
      <c r="L30" s="52">
        <f t="shared" si="1"/>
        <v>0</v>
      </c>
      <c r="M30" s="52">
        <f t="shared" si="1"/>
        <v>0</v>
      </c>
      <c r="N30" s="109">
        <f t="shared" si="0"/>
        <v>0</v>
      </c>
    </row>
    <row r="31" spans="1:14" x14ac:dyDescent="0.25">
      <c r="A31" s="11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112"/>
    </row>
    <row r="32" spans="1:14" x14ac:dyDescent="0.25">
      <c r="A32" s="104" t="s">
        <v>23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13"/>
    </row>
    <row r="33" spans="1:14" x14ac:dyDescent="0.25">
      <c r="A33" s="11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112"/>
    </row>
    <row r="34" spans="1:14" x14ac:dyDescent="0.25">
      <c r="A34" s="104" t="s">
        <v>25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13"/>
    </row>
    <row r="35" spans="1:14" x14ac:dyDescent="0.25">
      <c r="A35" s="114" t="s">
        <v>26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3"/>
    </row>
    <row r="36" spans="1:14" x14ac:dyDescent="0.25">
      <c r="A36" s="107" t="s">
        <v>27</v>
      </c>
      <c r="B36" s="108">
        <v>77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9">
        <f t="shared" ref="N36:N45" si="2">SUM(B36:M36)</f>
        <v>0</v>
      </c>
    </row>
    <row r="37" spans="1:14" x14ac:dyDescent="0.25">
      <c r="A37" s="107" t="s">
        <v>28</v>
      </c>
      <c r="B37" s="108">
        <v>73</v>
      </c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9">
        <f t="shared" si="2"/>
        <v>0</v>
      </c>
    </row>
    <row r="38" spans="1:14" x14ac:dyDescent="0.25">
      <c r="A38" s="107" t="s">
        <v>29</v>
      </c>
      <c r="B38" s="108">
        <v>80</v>
      </c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9">
        <f t="shared" si="2"/>
        <v>0</v>
      </c>
    </row>
    <row r="39" spans="1:14" x14ac:dyDescent="0.25">
      <c r="A39" s="107" t="s">
        <v>30</v>
      </c>
      <c r="B39" s="108">
        <v>78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9">
        <f t="shared" si="2"/>
        <v>0</v>
      </c>
    </row>
    <row r="40" spans="1:14" x14ac:dyDescent="0.25">
      <c r="A40" s="107" t="s">
        <v>31</v>
      </c>
      <c r="B40" s="108">
        <v>80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>
        <f t="shared" si="2"/>
        <v>0</v>
      </c>
    </row>
    <row r="41" spans="1:14" x14ac:dyDescent="0.25">
      <c r="A41" s="107" t="s">
        <v>32</v>
      </c>
      <c r="B41" s="108">
        <v>87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9">
        <f t="shared" si="2"/>
        <v>0</v>
      </c>
    </row>
    <row r="42" spans="1:14" x14ac:dyDescent="0.25">
      <c r="A42" s="107" t="s">
        <v>33</v>
      </c>
      <c r="B42" s="108">
        <v>58</v>
      </c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>
        <f t="shared" si="2"/>
        <v>0</v>
      </c>
    </row>
    <row r="43" spans="1:14" x14ac:dyDescent="0.25">
      <c r="A43" s="107" t="s">
        <v>34</v>
      </c>
      <c r="B43" s="108">
        <v>78</v>
      </c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9">
        <f t="shared" si="2"/>
        <v>0</v>
      </c>
    </row>
    <row r="44" spans="1:14" x14ac:dyDescent="0.25">
      <c r="A44" s="107" t="s">
        <v>35</v>
      </c>
      <c r="B44" s="108">
        <v>83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>
        <f t="shared" si="2"/>
        <v>0</v>
      </c>
    </row>
    <row r="45" spans="1:14" x14ac:dyDescent="0.25">
      <c r="A45" s="116" t="s">
        <v>36</v>
      </c>
      <c r="B45" s="117">
        <f>SUM(B36:B44)</f>
        <v>0</v>
      </c>
      <c r="C45" s="117">
        <f t="shared" ref="C45:M45" si="3">SUM(C36:C44)</f>
        <v>0</v>
      </c>
      <c r="D45" s="117">
        <f t="shared" si="3"/>
        <v>0</v>
      </c>
      <c r="E45" s="117">
        <f t="shared" si="3"/>
        <v>0</v>
      </c>
      <c r="F45" s="117">
        <f t="shared" si="3"/>
        <v>0</v>
      </c>
      <c r="G45" s="117">
        <f t="shared" si="3"/>
        <v>0</v>
      </c>
      <c r="H45" s="117">
        <f t="shared" si="3"/>
        <v>0</v>
      </c>
      <c r="I45" s="117">
        <f t="shared" si="3"/>
        <v>0</v>
      </c>
      <c r="J45" s="117">
        <f t="shared" si="3"/>
        <v>0</v>
      </c>
      <c r="K45" s="117">
        <f t="shared" si="3"/>
        <v>0</v>
      </c>
      <c r="L45" s="117">
        <f t="shared" si="3"/>
        <v>0</v>
      </c>
      <c r="M45" s="117">
        <f t="shared" si="3"/>
        <v>0</v>
      </c>
      <c r="N45" s="109">
        <f t="shared" si="2"/>
        <v>0</v>
      </c>
    </row>
    <row r="46" spans="1:14" x14ac:dyDescent="0.25">
      <c r="A46" s="118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2"/>
    </row>
    <row r="47" spans="1:14" s="120" customFormat="1" x14ac:dyDescent="0.25">
      <c r="A47" s="114" t="s">
        <v>37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3"/>
    </row>
    <row r="48" spans="1:14" x14ac:dyDescent="0.25">
      <c r="A48" s="107" t="s">
        <v>38</v>
      </c>
      <c r="B48" s="108">
        <v>79</v>
      </c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9">
        <f t="shared" ref="N48:N53" si="4">SUM(B48:M48)</f>
        <v>0</v>
      </c>
    </row>
    <row r="49" spans="1:14" x14ac:dyDescent="0.25">
      <c r="A49" s="107" t="s">
        <v>39</v>
      </c>
      <c r="B49" s="108">
        <v>89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9">
        <f t="shared" si="4"/>
        <v>0</v>
      </c>
    </row>
    <row r="50" spans="1:14" x14ac:dyDescent="0.25">
      <c r="A50" s="107" t="s">
        <v>40</v>
      </c>
      <c r="B50" s="108">
        <v>90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9">
        <f t="shared" si="4"/>
        <v>0</v>
      </c>
    </row>
    <row r="51" spans="1:14" x14ac:dyDescent="0.25">
      <c r="A51" s="107" t="s">
        <v>41</v>
      </c>
      <c r="B51" s="108">
        <v>87</v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9">
        <f t="shared" si="4"/>
        <v>0</v>
      </c>
    </row>
    <row r="52" spans="1:14" x14ac:dyDescent="0.25">
      <c r="A52" s="107" t="s">
        <v>42</v>
      </c>
      <c r="B52" s="108">
        <v>81</v>
      </c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9">
        <f t="shared" si="4"/>
        <v>0</v>
      </c>
    </row>
    <row r="53" spans="1:14" x14ac:dyDescent="0.25">
      <c r="A53" s="116" t="s">
        <v>43</v>
      </c>
      <c r="B53" s="117">
        <f>SUM(B48:B52)</f>
        <v>0</v>
      </c>
      <c r="C53" s="117">
        <f t="shared" ref="C53:M53" si="5">SUM(C48:C52)</f>
        <v>0</v>
      </c>
      <c r="D53" s="117">
        <f t="shared" si="5"/>
        <v>0</v>
      </c>
      <c r="E53" s="117">
        <f t="shared" si="5"/>
        <v>0</v>
      </c>
      <c r="F53" s="117">
        <f t="shared" si="5"/>
        <v>0</v>
      </c>
      <c r="G53" s="117">
        <f t="shared" si="5"/>
        <v>0</v>
      </c>
      <c r="H53" s="117">
        <f t="shared" si="5"/>
        <v>0</v>
      </c>
      <c r="I53" s="117">
        <f t="shared" si="5"/>
        <v>0</v>
      </c>
      <c r="J53" s="117">
        <f t="shared" si="5"/>
        <v>0</v>
      </c>
      <c r="K53" s="117">
        <f t="shared" si="5"/>
        <v>0</v>
      </c>
      <c r="L53" s="117">
        <f t="shared" si="5"/>
        <v>0</v>
      </c>
      <c r="M53" s="117">
        <f t="shared" si="5"/>
        <v>0</v>
      </c>
      <c r="N53" s="109">
        <f t="shared" si="4"/>
        <v>0</v>
      </c>
    </row>
    <row r="54" spans="1:14" x14ac:dyDescent="0.25">
      <c r="A54" s="118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2"/>
    </row>
    <row r="55" spans="1:14" x14ac:dyDescent="0.25">
      <c r="A55" s="114" t="s">
        <v>44</v>
      </c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3"/>
    </row>
    <row r="56" spans="1:14" x14ac:dyDescent="0.25">
      <c r="A56" s="107" t="s">
        <v>45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9">
        <f t="shared" ref="N56:N62" si="6">SUM(B56:M56)</f>
        <v>0</v>
      </c>
    </row>
    <row r="57" spans="1:14" x14ac:dyDescent="0.25">
      <c r="A57" s="107" t="s">
        <v>46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9">
        <f t="shared" si="6"/>
        <v>0</v>
      </c>
    </row>
    <row r="58" spans="1:14" x14ac:dyDescent="0.25">
      <c r="A58" s="107" t="s">
        <v>47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9">
        <f t="shared" si="6"/>
        <v>0</v>
      </c>
    </row>
    <row r="59" spans="1:14" x14ac:dyDescent="0.25">
      <c r="A59" s="107" t="s">
        <v>48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9">
        <f t="shared" si="6"/>
        <v>0</v>
      </c>
    </row>
    <row r="60" spans="1:14" x14ac:dyDescent="0.25">
      <c r="A60" s="107" t="s">
        <v>49</v>
      </c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9">
        <f t="shared" si="6"/>
        <v>0</v>
      </c>
    </row>
    <row r="61" spans="1:14" x14ac:dyDescent="0.25">
      <c r="A61" s="107" t="s">
        <v>50</v>
      </c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9">
        <f t="shared" si="6"/>
        <v>0</v>
      </c>
    </row>
    <row r="62" spans="1:14" x14ac:dyDescent="0.25">
      <c r="A62" s="116" t="s">
        <v>36</v>
      </c>
      <c r="B62" s="117">
        <f>SUM(B56:B61)</f>
        <v>0</v>
      </c>
      <c r="C62" s="117">
        <f t="shared" ref="C62:M62" si="7">SUM(C56:C61)</f>
        <v>0</v>
      </c>
      <c r="D62" s="117">
        <f t="shared" si="7"/>
        <v>0</v>
      </c>
      <c r="E62" s="117">
        <f t="shared" si="7"/>
        <v>0</v>
      </c>
      <c r="F62" s="117">
        <f t="shared" si="7"/>
        <v>0</v>
      </c>
      <c r="G62" s="117">
        <f t="shared" si="7"/>
        <v>0</v>
      </c>
      <c r="H62" s="117">
        <f t="shared" si="7"/>
        <v>0</v>
      </c>
      <c r="I62" s="117">
        <f t="shared" si="7"/>
        <v>0</v>
      </c>
      <c r="J62" s="117">
        <f t="shared" si="7"/>
        <v>0</v>
      </c>
      <c r="K62" s="117">
        <f t="shared" si="7"/>
        <v>0</v>
      </c>
      <c r="L62" s="117">
        <f t="shared" si="7"/>
        <v>0</v>
      </c>
      <c r="M62" s="117">
        <f t="shared" si="7"/>
        <v>0</v>
      </c>
      <c r="N62" s="109">
        <f t="shared" si="6"/>
        <v>0</v>
      </c>
    </row>
    <row r="63" spans="1:14" x14ac:dyDescent="0.25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2"/>
    </row>
    <row r="64" spans="1:14" x14ac:dyDescent="0.25">
      <c r="A64" s="114" t="s">
        <v>51</v>
      </c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3"/>
    </row>
    <row r="65" spans="1:14" x14ac:dyDescent="0.25">
      <c r="A65" s="107" t="s">
        <v>52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9">
        <f t="shared" ref="N65:N72" si="8">SUM(B65:M65)</f>
        <v>0</v>
      </c>
    </row>
    <row r="66" spans="1:14" x14ac:dyDescent="0.25">
      <c r="A66" s="107" t="s">
        <v>53</v>
      </c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9">
        <f t="shared" si="8"/>
        <v>0</v>
      </c>
    </row>
    <row r="67" spans="1:14" x14ac:dyDescent="0.25">
      <c r="A67" s="107" t="s">
        <v>54</v>
      </c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9">
        <f t="shared" si="8"/>
        <v>0</v>
      </c>
    </row>
    <row r="68" spans="1:14" x14ac:dyDescent="0.25">
      <c r="A68" s="107" t="s">
        <v>55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9">
        <f t="shared" si="8"/>
        <v>0</v>
      </c>
    </row>
    <row r="69" spans="1:14" x14ac:dyDescent="0.25">
      <c r="A69" s="107" t="s">
        <v>56</v>
      </c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9">
        <f t="shared" si="8"/>
        <v>0</v>
      </c>
    </row>
    <row r="70" spans="1:14" x14ac:dyDescent="0.25">
      <c r="A70" s="107" t="s">
        <v>57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9">
        <f t="shared" si="8"/>
        <v>0</v>
      </c>
    </row>
    <row r="71" spans="1:14" x14ac:dyDescent="0.25">
      <c r="A71" s="107" t="s">
        <v>58</v>
      </c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9">
        <f t="shared" si="8"/>
        <v>0</v>
      </c>
    </row>
    <row r="72" spans="1:14" x14ac:dyDescent="0.25">
      <c r="A72" s="116" t="s">
        <v>36</v>
      </c>
      <c r="B72" s="117">
        <f>SUM(B65:B71)</f>
        <v>0</v>
      </c>
      <c r="C72" s="117">
        <f t="shared" ref="C72:M72" si="9">SUM(C65:C71)</f>
        <v>0</v>
      </c>
      <c r="D72" s="117">
        <f t="shared" si="9"/>
        <v>0</v>
      </c>
      <c r="E72" s="117">
        <f t="shared" si="9"/>
        <v>0</v>
      </c>
      <c r="F72" s="117">
        <f t="shared" si="9"/>
        <v>0</v>
      </c>
      <c r="G72" s="117">
        <f t="shared" si="9"/>
        <v>0</v>
      </c>
      <c r="H72" s="117">
        <f t="shared" si="9"/>
        <v>0</v>
      </c>
      <c r="I72" s="117">
        <f t="shared" si="9"/>
        <v>0</v>
      </c>
      <c r="J72" s="117">
        <f t="shared" si="9"/>
        <v>0</v>
      </c>
      <c r="K72" s="117">
        <f t="shared" si="9"/>
        <v>0</v>
      </c>
      <c r="L72" s="117">
        <f t="shared" si="9"/>
        <v>0</v>
      </c>
      <c r="M72" s="117">
        <f t="shared" si="9"/>
        <v>0</v>
      </c>
      <c r="N72" s="109">
        <f t="shared" si="8"/>
        <v>0</v>
      </c>
    </row>
    <row r="73" spans="1:14" x14ac:dyDescent="0.25">
      <c r="A73" s="121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2"/>
    </row>
    <row r="74" spans="1:14" x14ac:dyDescent="0.25">
      <c r="A74" s="99" t="s">
        <v>17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101"/>
    </row>
    <row r="75" spans="1:14" x14ac:dyDescent="0.25">
      <c r="A75" s="104" t="s">
        <v>59</v>
      </c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13"/>
    </row>
    <row r="76" spans="1:14" x14ac:dyDescent="0.25">
      <c r="A76" s="114" t="s">
        <v>60</v>
      </c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3"/>
    </row>
    <row r="77" spans="1:14" x14ac:dyDescent="0.25">
      <c r="A77" s="107" t="s">
        <v>61</v>
      </c>
      <c r="B77" s="108">
        <v>71</v>
      </c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9">
        <f t="shared" ref="N77:N80" si="10">SUM(B77:M77)</f>
        <v>0</v>
      </c>
    </row>
    <row r="78" spans="1:14" x14ac:dyDescent="0.25">
      <c r="A78" s="107" t="s">
        <v>62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9">
        <f t="shared" si="10"/>
        <v>0</v>
      </c>
    </row>
    <row r="79" spans="1:14" x14ac:dyDescent="0.25">
      <c r="A79" s="107" t="s">
        <v>63</v>
      </c>
      <c r="B79" s="108">
        <v>76</v>
      </c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9">
        <f t="shared" si="10"/>
        <v>0</v>
      </c>
    </row>
    <row r="80" spans="1:14" x14ac:dyDescent="0.25">
      <c r="A80" s="116" t="s">
        <v>36</v>
      </c>
      <c r="B80" s="117">
        <f>SUM(B77:B79)</f>
        <v>0</v>
      </c>
      <c r="C80" s="117">
        <f t="shared" ref="C80:M80" si="11">SUM(C77:C79)</f>
        <v>0</v>
      </c>
      <c r="D80" s="117">
        <f t="shared" si="11"/>
        <v>0</v>
      </c>
      <c r="E80" s="117">
        <f t="shared" si="11"/>
        <v>0</v>
      </c>
      <c r="F80" s="117">
        <f t="shared" si="11"/>
        <v>0</v>
      </c>
      <c r="G80" s="117">
        <f t="shared" si="11"/>
        <v>0</v>
      </c>
      <c r="H80" s="117">
        <f t="shared" si="11"/>
        <v>0</v>
      </c>
      <c r="I80" s="117">
        <f t="shared" si="11"/>
        <v>0</v>
      </c>
      <c r="J80" s="117">
        <f t="shared" si="11"/>
        <v>0</v>
      </c>
      <c r="K80" s="117">
        <f t="shared" si="11"/>
        <v>0</v>
      </c>
      <c r="L80" s="117">
        <f t="shared" si="11"/>
        <v>0</v>
      </c>
      <c r="M80" s="117">
        <f t="shared" si="11"/>
        <v>0</v>
      </c>
      <c r="N80" s="109">
        <f t="shared" si="10"/>
        <v>0</v>
      </c>
    </row>
    <row r="81" spans="1:14" x14ac:dyDescent="0.25">
      <c r="A81" s="118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2"/>
    </row>
    <row r="82" spans="1:14" x14ac:dyDescent="0.25">
      <c r="A82" s="114" t="s">
        <v>64</v>
      </c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3"/>
    </row>
    <row r="83" spans="1:14" x14ac:dyDescent="0.25">
      <c r="A83" s="107" t="s">
        <v>65</v>
      </c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9">
        <f t="shared" ref="N83:N88" si="12">SUM(B83:M83)</f>
        <v>0</v>
      </c>
    </row>
    <row r="84" spans="1:14" x14ac:dyDescent="0.25">
      <c r="A84" s="107" t="s">
        <v>66</v>
      </c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9">
        <f t="shared" si="12"/>
        <v>0</v>
      </c>
    </row>
    <row r="85" spans="1:14" x14ac:dyDescent="0.25">
      <c r="A85" s="107" t="s">
        <v>67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>
        <f t="shared" si="12"/>
        <v>0</v>
      </c>
    </row>
    <row r="86" spans="1:14" x14ac:dyDescent="0.25">
      <c r="A86" s="107" t="s">
        <v>68</v>
      </c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9">
        <f t="shared" si="12"/>
        <v>0</v>
      </c>
    </row>
    <row r="87" spans="1:14" x14ac:dyDescent="0.25">
      <c r="A87" s="107" t="s">
        <v>69</v>
      </c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9">
        <f t="shared" si="12"/>
        <v>0</v>
      </c>
    </row>
    <row r="88" spans="1:14" x14ac:dyDescent="0.25">
      <c r="A88" s="116" t="s">
        <v>43</v>
      </c>
      <c r="B88" s="117">
        <f>SUM(B83:B87)</f>
        <v>0</v>
      </c>
      <c r="C88" s="117">
        <f t="shared" ref="C88:M88" si="13">SUM(C83:C87)</f>
        <v>0</v>
      </c>
      <c r="D88" s="117">
        <f t="shared" si="13"/>
        <v>0</v>
      </c>
      <c r="E88" s="117">
        <f t="shared" si="13"/>
        <v>0</v>
      </c>
      <c r="F88" s="117">
        <f t="shared" si="13"/>
        <v>0</v>
      </c>
      <c r="G88" s="117">
        <f t="shared" si="13"/>
        <v>0</v>
      </c>
      <c r="H88" s="117">
        <f t="shared" si="13"/>
        <v>0</v>
      </c>
      <c r="I88" s="117">
        <f t="shared" si="13"/>
        <v>0</v>
      </c>
      <c r="J88" s="117">
        <f t="shared" si="13"/>
        <v>0</v>
      </c>
      <c r="K88" s="117">
        <f t="shared" si="13"/>
        <v>0</v>
      </c>
      <c r="L88" s="117">
        <f t="shared" si="13"/>
        <v>0</v>
      </c>
      <c r="M88" s="117">
        <f t="shared" si="13"/>
        <v>0</v>
      </c>
      <c r="N88" s="109">
        <f t="shared" si="12"/>
        <v>0</v>
      </c>
    </row>
    <row r="89" spans="1:14" x14ac:dyDescent="0.25">
      <c r="A89" s="122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12"/>
    </row>
    <row r="90" spans="1:14" x14ac:dyDescent="0.25">
      <c r="A90" s="104" t="s">
        <v>70</v>
      </c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13"/>
    </row>
    <row r="91" spans="1:14" x14ac:dyDescent="0.25">
      <c r="A91" s="114" t="s">
        <v>71</v>
      </c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3"/>
    </row>
    <row r="92" spans="1:14" x14ac:dyDescent="0.25">
      <c r="A92" s="107" t="s">
        <v>72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9">
        <f t="shared" ref="N92:N99" si="14">SUM(B92:M92)</f>
        <v>0</v>
      </c>
    </row>
    <row r="93" spans="1:14" x14ac:dyDescent="0.25">
      <c r="A93" s="107" t="s">
        <v>73</v>
      </c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9">
        <f t="shared" si="14"/>
        <v>0</v>
      </c>
    </row>
    <row r="94" spans="1:14" x14ac:dyDescent="0.25">
      <c r="A94" s="107" t="s">
        <v>74</v>
      </c>
      <c r="B94" s="108">
        <v>57</v>
      </c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9">
        <f t="shared" si="14"/>
        <v>0</v>
      </c>
    </row>
    <row r="95" spans="1:14" x14ac:dyDescent="0.25">
      <c r="A95" s="107" t="s">
        <v>75</v>
      </c>
      <c r="B95" s="108">
        <v>74</v>
      </c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9">
        <f t="shared" si="14"/>
        <v>0</v>
      </c>
    </row>
    <row r="96" spans="1:14" x14ac:dyDescent="0.25">
      <c r="A96" s="107" t="s">
        <v>76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9">
        <f t="shared" si="14"/>
        <v>0</v>
      </c>
    </row>
    <row r="97" spans="1:14" x14ac:dyDescent="0.25">
      <c r="A97" s="107" t="s">
        <v>77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9">
        <f t="shared" si="14"/>
        <v>0</v>
      </c>
    </row>
    <row r="98" spans="1:14" x14ac:dyDescent="0.25">
      <c r="A98" s="107" t="s">
        <v>78</v>
      </c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9">
        <f t="shared" si="14"/>
        <v>0</v>
      </c>
    </row>
    <row r="99" spans="1:14" x14ac:dyDescent="0.25">
      <c r="A99" s="116" t="s">
        <v>36</v>
      </c>
      <c r="B99" s="117">
        <f>SUM(B92:B98)</f>
        <v>0</v>
      </c>
      <c r="C99" s="117">
        <f t="shared" ref="C99:M99" si="15">SUM(C92:C98)</f>
        <v>0</v>
      </c>
      <c r="D99" s="117">
        <f t="shared" si="15"/>
        <v>0</v>
      </c>
      <c r="E99" s="117">
        <f t="shared" si="15"/>
        <v>0</v>
      </c>
      <c r="F99" s="117">
        <f t="shared" si="15"/>
        <v>0</v>
      </c>
      <c r="G99" s="117">
        <f t="shared" si="15"/>
        <v>0</v>
      </c>
      <c r="H99" s="117">
        <f t="shared" si="15"/>
        <v>0</v>
      </c>
      <c r="I99" s="117">
        <f t="shared" si="15"/>
        <v>0</v>
      </c>
      <c r="J99" s="117">
        <f t="shared" si="15"/>
        <v>0</v>
      </c>
      <c r="K99" s="117">
        <f t="shared" si="15"/>
        <v>0</v>
      </c>
      <c r="L99" s="117">
        <f t="shared" si="15"/>
        <v>0</v>
      </c>
      <c r="M99" s="117">
        <f t="shared" si="15"/>
        <v>0</v>
      </c>
      <c r="N99" s="109">
        <f t="shared" si="14"/>
        <v>0</v>
      </c>
    </row>
    <row r="100" spans="1:14" x14ac:dyDescent="0.25">
      <c r="A100" s="118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2"/>
    </row>
    <row r="101" spans="1:14" x14ac:dyDescent="0.25">
      <c r="A101" s="114" t="s">
        <v>79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3"/>
    </row>
    <row r="102" spans="1:14" x14ac:dyDescent="0.25">
      <c r="A102" s="107" t="s">
        <v>80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9">
        <f t="shared" ref="N102:N108" si="16">SUM(B102:M102)</f>
        <v>0</v>
      </c>
    </row>
    <row r="103" spans="1:14" x14ac:dyDescent="0.25">
      <c r="A103" s="107" t="s">
        <v>81</v>
      </c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9">
        <f t="shared" si="16"/>
        <v>0</v>
      </c>
    </row>
    <row r="104" spans="1:14" x14ac:dyDescent="0.25">
      <c r="A104" s="107" t="s">
        <v>82</v>
      </c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9">
        <f t="shared" si="16"/>
        <v>0</v>
      </c>
    </row>
    <row r="105" spans="1:14" x14ac:dyDescent="0.25">
      <c r="A105" s="107" t="s">
        <v>83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9">
        <f t="shared" si="16"/>
        <v>0</v>
      </c>
    </row>
    <row r="106" spans="1:14" x14ac:dyDescent="0.25">
      <c r="A106" s="107" t="s">
        <v>84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9">
        <f t="shared" si="16"/>
        <v>0</v>
      </c>
    </row>
    <row r="107" spans="1:14" x14ac:dyDescent="0.25">
      <c r="A107" s="107" t="s">
        <v>85</v>
      </c>
      <c r="B107" s="108">
        <v>86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9">
        <f t="shared" si="16"/>
        <v>0</v>
      </c>
    </row>
    <row r="108" spans="1:14" x14ac:dyDescent="0.25">
      <c r="A108" s="116" t="s">
        <v>36</v>
      </c>
      <c r="B108" s="117">
        <f>SUM(B102:B107)</f>
        <v>0</v>
      </c>
      <c r="C108" s="117">
        <f t="shared" ref="C108:M108" si="17">SUM(C102:C107)</f>
        <v>0</v>
      </c>
      <c r="D108" s="117">
        <f t="shared" si="17"/>
        <v>0</v>
      </c>
      <c r="E108" s="117">
        <f t="shared" si="17"/>
        <v>0</v>
      </c>
      <c r="F108" s="117">
        <f t="shared" si="17"/>
        <v>0</v>
      </c>
      <c r="G108" s="117">
        <f t="shared" si="17"/>
        <v>0</v>
      </c>
      <c r="H108" s="117">
        <f t="shared" si="17"/>
        <v>0</v>
      </c>
      <c r="I108" s="117">
        <f t="shared" si="17"/>
        <v>0</v>
      </c>
      <c r="J108" s="117">
        <f t="shared" si="17"/>
        <v>0</v>
      </c>
      <c r="K108" s="117">
        <f t="shared" si="17"/>
        <v>0</v>
      </c>
      <c r="L108" s="117">
        <f t="shared" si="17"/>
        <v>0</v>
      </c>
      <c r="M108" s="117">
        <f t="shared" si="17"/>
        <v>0</v>
      </c>
      <c r="N108" s="109">
        <f t="shared" si="16"/>
        <v>0</v>
      </c>
    </row>
    <row r="109" spans="1:14" x14ac:dyDescent="0.25">
      <c r="A109" s="118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2"/>
    </row>
    <row r="110" spans="1:14" x14ac:dyDescent="0.25">
      <c r="A110" s="114" t="s">
        <v>86</v>
      </c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3"/>
    </row>
    <row r="111" spans="1:14" x14ac:dyDescent="0.25">
      <c r="A111" s="107" t="s">
        <v>87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9">
        <f t="shared" ref="N111:N116" si="18">SUM(B111:M111)</f>
        <v>0</v>
      </c>
    </row>
    <row r="112" spans="1:14" x14ac:dyDescent="0.25">
      <c r="A112" s="107" t="s">
        <v>88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9">
        <f t="shared" si="18"/>
        <v>0</v>
      </c>
    </row>
    <row r="113" spans="1:14" x14ac:dyDescent="0.25">
      <c r="A113" s="107" t="s">
        <v>89</v>
      </c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9">
        <f t="shared" si="18"/>
        <v>0</v>
      </c>
    </row>
    <row r="114" spans="1:14" x14ac:dyDescent="0.25">
      <c r="A114" s="107" t="s">
        <v>90</v>
      </c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9">
        <f t="shared" si="18"/>
        <v>0</v>
      </c>
    </row>
    <row r="115" spans="1:14" x14ac:dyDescent="0.25">
      <c r="A115" s="107" t="s">
        <v>91</v>
      </c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9">
        <f t="shared" si="18"/>
        <v>0</v>
      </c>
    </row>
    <row r="116" spans="1:14" x14ac:dyDescent="0.25">
      <c r="A116" s="116" t="s">
        <v>36</v>
      </c>
      <c r="B116" s="117">
        <f>SUM(B111:B115)</f>
        <v>0</v>
      </c>
      <c r="C116" s="117">
        <f t="shared" ref="C116:M116" si="19">SUM(C111:C115)</f>
        <v>0</v>
      </c>
      <c r="D116" s="117">
        <f t="shared" si="19"/>
        <v>0</v>
      </c>
      <c r="E116" s="117">
        <f t="shared" si="19"/>
        <v>0</v>
      </c>
      <c r="F116" s="117">
        <f t="shared" si="19"/>
        <v>0</v>
      </c>
      <c r="G116" s="117">
        <f t="shared" si="19"/>
        <v>0</v>
      </c>
      <c r="H116" s="117">
        <f t="shared" si="19"/>
        <v>0</v>
      </c>
      <c r="I116" s="117">
        <f t="shared" si="19"/>
        <v>0</v>
      </c>
      <c r="J116" s="117">
        <f t="shared" si="19"/>
        <v>0</v>
      </c>
      <c r="K116" s="117">
        <f t="shared" si="19"/>
        <v>0</v>
      </c>
      <c r="L116" s="117">
        <f t="shared" si="19"/>
        <v>0</v>
      </c>
      <c r="M116" s="117">
        <f t="shared" si="19"/>
        <v>0</v>
      </c>
      <c r="N116" s="109">
        <f t="shared" si="18"/>
        <v>0</v>
      </c>
    </row>
    <row r="117" spans="1:14" x14ac:dyDescent="0.25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2"/>
    </row>
    <row r="118" spans="1:14" x14ac:dyDescent="0.25">
      <c r="A118" s="114" t="s">
        <v>92</v>
      </c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3"/>
    </row>
    <row r="119" spans="1:14" x14ac:dyDescent="0.25">
      <c r="A119" s="107" t="s">
        <v>93</v>
      </c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9">
        <f t="shared" ref="N119:N122" si="20">SUM(B119:M119)</f>
        <v>0</v>
      </c>
    </row>
    <row r="120" spans="1:14" x14ac:dyDescent="0.25">
      <c r="A120" s="107" t="s">
        <v>94</v>
      </c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9">
        <f t="shared" si="20"/>
        <v>0</v>
      </c>
    </row>
    <row r="121" spans="1:14" x14ac:dyDescent="0.25">
      <c r="A121" s="107" t="s">
        <v>95</v>
      </c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9">
        <f t="shared" si="20"/>
        <v>0</v>
      </c>
    </row>
    <row r="122" spans="1:14" x14ac:dyDescent="0.25">
      <c r="A122" s="116" t="s">
        <v>36</v>
      </c>
      <c r="B122" s="117">
        <f>SUM(B119:B121)</f>
        <v>0</v>
      </c>
      <c r="C122" s="117">
        <f t="shared" ref="C122:M122" si="21">SUM(C119:C121)</f>
        <v>0</v>
      </c>
      <c r="D122" s="117">
        <f t="shared" si="21"/>
        <v>0</v>
      </c>
      <c r="E122" s="117">
        <f t="shared" si="21"/>
        <v>0</v>
      </c>
      <c r="F122" s="117">
        <f t="shared" si="21"/>
        <v>0</v>
      </c>
      <c r="G122" s="117">
        <f t="shared" si="21"/>
        <v>0</v>
      </c>
      <c r="H122" s="117">
        <f t="shared" si="21"/>
        <v>0</v>
      </c>
      <c r="I122" s="117">
        <f t="shared" si="21"/>
        <v>0</v>
      </c>
      <c r="J122" s="117">
        <f t="shared" si="21"/>
        <v>0</v>
      </c>
      <c r="K122" s="117">
        <f t="shared" si="21"/>
        <v>0</v>
      </c>
      <c r="L122" s="117">
        <f t="shared" si="21"/>
        <v>0</v>
      </c>
      <c r="M122" s="117">
        <f t="shared" si="21"/>
        <v>0</v>
      </c>
      <c r="N122" s="109">
        <f t="shared" si="20"/>
        <v>0</v>
      </c>
    </row>
    <row r="123" spans="1:14" x14ac:dyDescent="0.25">
      <c r="A123" s="118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2"/>
    </row>
    <row r="124" spans="1:14" x14ac:dyDescent="0.25">
      <c r="A124" s="104" t="s">
        <v>96</v>
      </c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13"/>
    </row>
    <row r="125" spans="1:14" x14ac:dyDescent="0.25">
      <c r="A125" s="107" t="s">
        <v>97</v>
      </c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9">
        <f t="shared" ref="N125:N130" si="22">SUM(B125:M125)</f>
        <v>0</v>
      </c>
    </row>
    <row r="126" spans="1:14" x14ac:dyDescent="0.25">
      <c r="A126" s="107" t="s">
        <v>98</v>
      </c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9">
        <f t="shared" si="22"/>
        <v>0</v>
      </c>
    </row>
    <row r="127" spans="1:14" x14ac:dyDescent="0.25">
      <c r="A127" s="107" t="s">
        <v>99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9">
        <f t="shared" si="22"/>
        <v>0</v>
      </c>
    </row>
    <row r="128" spans="1:14" x14ac:dyDescent="0.25">
      <c r="A128" s="107" t="s">
        <v>100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9">
        <f t="shared" si="22"/>
        <v>0</v>
      </c>
    </row>
    <row r="129" spans="1:14" x14ac:dyDescent="0.25">
      <c r="A129" s="107" t="s">
        <v>101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9">
        <f t="shared" si="22"/>
        <v>0</v>
      </c>
    </row>
    <row r="130" spans="1:14" x14ac:dyDescent="0.25">
      <c r="A130" s="116" t="s">
        <v>36</v>
      </c>
      <c r="B130" s="117">
        <f>SUM(B125:B129)</f>
        <v>0</v>
      </c>
      <c r="C130" s="117">
        <f t="shared" ref="C130:M130" si="23">SUM(C125:C129)</f>
        <v>0</v>
      </c>
      <c r="D130" s="117">
        <f t="shared" si="23"/>
        <v>0</v>
      </c>
      <c r="E130" s="117">
        <f t="shared" si="23"/>
        <v>0</v>
      </c>
      <c r="F130" s="117">
        <f t="shared" si="23"/>
        <v>0</v>
      </c>
      <c r="G130" s="117">
        <f t="shared" si="23"/>
        <v>0</v>
      </c>
      <c r="H130" s="117">
        <f t="shared" si="23"/>
        <v>0</v>
      </c>
      <c r="I130" s="117">
        <f t="shared" si="23"/>
        <v>0</v>
      </c>
      <c r="J130" s="117">
        <f t="shared" si="23"/>
        <v>0</v>
      </c>
      <c r="K130" s="117">
        <f t="shared" si="23"/>
        <v>0</v>
      </c>
      <c r="L130" s="117">
        <f t="shared" si="23"/>
        <v>0</v>
      </c>
      <c r="M130" s="117">
        <f t="shared" si="23"/>
        <v>0</v>
      </c>
      <c r="N130" s="109">
        <f t="shared" si="22"/>
        <v>0</v>
      </c>
    </row>
    <row r="131" spans="1:14" x14ac:dyDescent="0.25">
      <c r="A131" s="121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2"/>
    </row>
    <row r="132" spans="1:14" x14ac:dyDescent="0.25">
      <c r="A132" s="99" t="s">
        <v>17</v>
      </c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101"/>
    </row>
    <row r="133" spans="1:14" x14ac:dyDescent="0.25">
      <c r="A133" s="11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124"/>
    </row>
    <row r="134" spans="1:14" x14ac:dyDescent="0.25">
      <c r="A134" s="104" t="s">
        <v>102</v>
      </c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13"/>
    </row>
    <row r="135" spans="1:14" x14ac:dyDescent="0.25">
      <c r="A135" s="107" t="s">
        <v>103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9">
        <f t="shared" ref="N135:N137" si="24">SUM(B135:M135)</f>
        <v>0</v>
      </c>
    </row>
    <row r="136" spans="1:14" x14ac:dyDescent="0.25">
      <c r="A136" s="107" t="s">
        <v>104</v>
      </c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9">
        <f t="shared" si="24"/>
        <v>0</v>
      </c>
    </row>
    <row r="137" spans="1:14" x14ac:dyDescent="0.25">
      <c r="A137" s="116" t="s">
        <v>36</v>
      </c>
      <c r="B137" s="117">
        <f>SUM(B135:B136)</f>
        <v>0</v>
      </c>
      <c r="C137" s="117">
        <f t="shared" ref="C137:M137" si="25">SUM(C135:C136)</f>
        <v>0</v>
      </c>
      <c r="D137" s="117">
        <f t="shared" si="25"/>
        <v>0</v>
      </c>
      <c r="E137" s="117">
        <f t="shared" si="25"/>
        <v>0</v>
      </c>
      <c r="F137" s="117">
        <f t="shared" si="25"/>
        <v>0</v>
      </c>
      <c r="G137" s="117">
        <f t="shared" si="25"/>
        <v>0</v>
      </c>
      <c r="H137" s="117">
        <f t="shared" si="25"/>
        <v>0</v>
      </c>
      <c r="I137" s="117">
        <f t="shared" si="25"/>
        <v>0</v>
      </c>
      <c r="J137" s="117">
        <f t="shared" si="25"/>
        <v>0</v>
      </c>
      <c r="K137" s="117">
        <f t="shared" si="25"/>
        <v>0</v>
      </c>
      <c r="L137" s="117">
        <f t="shared" si="25"/>
        <v>0</v>
      </c>
      <c r="M137" s="117">
        <f t="shared" si="25"/>
        <v>0</v>
      </c>
      <c r="N137" s="109">
        <f t="shared" si="24"/>
        <v>0</v>
      </c>
    </row>
    <row r="138" spans="1:14" x14ac:dyDescent="0.25">
      <c r="A138" s="122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12"/>
    </row>
    <row r="139" spans="1:14" x14ac:dyDescent="0.25">
      <c r="A139" s="114" t="s">
        <v>105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09"/>
    </row>
    <row r="140" spans="1:14" x14ac:dyDescent="0.25">
      <c r="A140" s="114" t="s">
        <v>106</v>
      </c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09">
        <f t="shared" ref="N140" si="26">SUM(B140:M140)</f>
        <v>0</v>
      </c>
    </row>
    <row r="141" spans="1:14" x14ac:dyDescent="0.25">
      <c r="A141" s="11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112"/>
    </row>
    <row r="142" spans="1:14" x14ac:dyDescent="0.25">
      <c r="A142" s="110" t="s">
        <v>107</v>
      </c>
      <c r="B142" s="52">
        <f>SUM(B140,B137,B130,B122,B116,B108,B99,B88,B80,B72,B62,B53,B45)</f>
        <v>0</v>
      </c>
      <c r="C142" s="52">
        <f t="shared" ref="C142:M142" si="27">SUM(C140,C137,C130,C122,C116,C108,C99,C88,C80,C72,C62,C53,C45)</f>
        <v>0</v>
      </c>
      <c r="D142" s="52">
        <f t="shared" si="27"/>
        <v>0</v>
      </c>
      <c r="E142" s="52">
        <f t="shared" si="27"/>
        <v>0</v>
      </c>
      <c r="F142" s="52">
        <f t="shared" si="27"/>
        <v>0</v>
      </c>
      <c r="G142" s="52">
        <f t="shared" si="27"/>
        <v>0</v>
      </c>
      <c r="H142" s="52">
        <f t="shared" si="27"/>
        <v>0</v>
      </c>
      <c r="I142" s="52">
        <f t="shared" si="27"/>
        <v>0</v>
      </c>
      <c r="J142" s="52">
        <f t="shared" si="27"/>
        <v>0</v>
      </c>
      <c r="K142" s="52">
        <f t="shared" si="27"/>
        <v>0</v>
      </c>
      <c r="L142" s="52">
        <f t="shared" si="27"/>
        <v>0</v>
      </c>
      <c r="M142" s="52">
        <f t="shared" si="27"/>
        <v>0</v>
      </c>
      <c r="N142" s="109">
        <f t="shared" ref="N142" si="28">SUM(B142:M142)</f>
        <v>0</v>
      </c>
    </row>
    <row r="143" spans="1:14" x14ac:dyDescent="0.25">
      <c r="A143" s="122"/>
      <c r="B143" s="123">
        <v>70</v>
      </c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12"/>
    </row>
    <row r="144" spans="1:14" x14ac:dyDescent="0.25">
      <c r="A144" s="114" t="s">
        <v>108</v>
      </c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09">
        <f t="shared" ref="N144" si="29">SUM(B144:M144)</f>
        <v>0</v>
      </c>
    </row>
    <row r="145" spans="1:14" x14ac:dyDescent="0.25">
      <c r="A145" s="11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126"/>
    </row>
    <row r="146" spans="1:14" x14ac:dyDescent="0.25">
      <c r="A146" s="127" t="s">
        <v>109</v>
      </c>
      <c r="B146" s="49">
        <f>SUM(B147:B149)</f>
        <v>0</v>
      </c>
      <c r="C146" s="49">
        <f t="shared" ref="C146:M146" si="30">SUM(C147:C149)</f>
        <v>0</v>
      </c>
      <c r="D146" s="49">
        <f t="shared" si="30"/>
        <v>0</v>
      </c>
      <c r="E146" s="49">
        <f t="shared" si="30"/>
        <v>0</v>
      </c>
      <c r="F146" s="49">
        <f t="shared" si="30"/>
        <v>0</v>
      </c>
      <c r="G146" s="49">
        <f t="shared" si="30"/>
        <v>0</v>
      </c>
      <c r="H146" s="49">
        <f t="shared" si="30"/>
        <v>0</v>
      </c>
      <c r="I146" s="49">
        <f t="shared" si="30"/>
        <v>0</v>
      </c>
      <c r="J146" s="49">
        <f t="shared" si="30"/>
        <v>0</v>
      </c>
      <c r="K146" s="49">
        <f t="shared" si="30"/>
        <v>0</v>
      </c>
      <c r="L146" s="49">
        <f t="shared" si="30"/>
        <v>0</v>
      </c>
      <c r="M146" s="49">
        <f t="shared" si="30"/>
        <v>0</v>
      </c>
      <c r="N146" s="109">
        <f t="shared" ref="N146:N150" si="31">SUM(B146:M146)</f>
        <v>0</v>
      </c>
    </row>
    <row r="147" spans="1:14" x14ac:dyDescent="0.25">
      <c r="A147" s="128" t="s">
        <v>110</v>
      </c>
      <c r="B147" s="52">
        <f>B30</f>
        <v>0</v>
      </c>
      <c r="C147" s="52">
        <f t="shared" ref="C147:M147" si="32">C30</f>
        <v>0</v>
      </c>
      <c r="D147" s="52">
        <f t="shared" si="32"/>
        <v>0</v>
      </c>
      <c r="E147" s="52">
        <f t="shared" si="32"/>
        <v>0</v>
      </c>
      <c r="F147" s="52">
        <f t="shared" si="32"/>
        <v>0</v>
      </c>
      <c r="G147" s="52">
        <f t="shared" si="32"/>
        <v>0</v>
      </c>
      <c r="H147" s="52">
        <f t="shared" si="32"/>
        <v>0</v>
      </c>
      <c r="I147" s="52">
        <f t="shared" si="32"/>
        <v>0</v>
      </c>
      <c r="J147" s="52">
        <f t="shared" si="32"/>
        <v>0</v>
      </c>
      <c r="K147" s="52">
        <f t="shared" si="32"/>
        <v>0</v>
      </c>
      <c r="L147" s="52">
        <f t="shared" si="32"/>
        <v>0</v>
      </c>
      <c r="M147" s="52">
        <f t="shared" si="32"/>
        <v>0</v>
      </c>
      <c r="N147" s="109">
        <f t="shared" si="31"/>
        <v>0</v>
      </c>
    </row>
    <row r="148" spans="1:14" x14ac:dyDescent="0.25">
      <c r="A148" s="128" t="s">
        <v>111</v>
      </c>
      <c r="B148" s="52">
        <f>B142</f>
        <v>0</v>
      </c>
      <c r="C148" s="52">
        <f t="shared" ref="C148:M148" si="33">C142</f>
        <v>0</v>
      </c>
      <c r="D148" s="52">
        <f t="shared" si="33"/>
        <v>0</v>
      </c>
      <c r="E148" s="52">
        <f t="shared" si="33"/>
        <v>0</v>
      </c>
      <c r="F148" s="52">
        <f t="shared" si="33"/>
        <v>0</v>
      </c>
      <c r="G148" s="52">
        <f t="shared" si="33"/>
        <v>0</v>
      </c>
      <c r="H148" s="52">
        <f t="shared" si="33"/>
        <v>0</v>
      </c>
      <c r="I148" s="52">
        <f t="shared" si="33"/>
        <v>0</v>
      </c>
      <c r="J148" s="52">
        <f t="shared" si="33"/>
        <v>0</v>
      </c>
      <c r="K148" s="52">
        <f t="shared" si="33"/>
        <v>0</v>
      </c>
      <c r="L148" s="52">
        <f t="shared" si="33"/>
        <v>0</v>
      </c>
      <c r="M148" s="52">
        <f t="shared" si="33"/>
        <v>0</v>
      </c>
      <c r="N148" s="109">
        <f t="shared" si="31"/>
        <v>0</v>
      </c>
    </row>
    <row r="149" spans="1:14" x14ac:dyDescent="0.25">
      <c r="A149" s="128" t="s">
        <v>112</v>
      </c>
      <c r="B149" s="52">
        <f>B144</f>
        <v>0</v>
      </c>
      <c r="C149" s="52">
        <f t="shared" ref="C149:M149" si="34">C144</f>
        <v>0</v>
      </c>
      <c r="D149" s="52">
        <f t="shared" si="34"/>
        <v>0</v>
      </c>
      <c r="E149" s="52">
        <f t="shared" si="34"/>
        <v>0</v>
      </c>
      <c r="F149" s="52">
        <f t="shared" si="34"/>
        <v>0</v>
      </c>
      <c r="G149" s="52">
        <f t="shared" si="34"/>
        <v>0</v>
      </c>
      <c r="H149" s="52">
        <f t="shared" si="34"/>
        <v>0</v>
      </c>
      <c r="I149" s="52">
        <f t="shared" si="34"/>
        <v>0</v>
      </c>
      <c r="J149" s="52">
        <f t="shared" si="34"/>
        <v>0</v>
      </c>
      <c r="K149" s="52">
        <f t="shared" si="34"/>
        <v>0</v>
      </c>
      <c r="L149" s="52">
        <f t="shared" si="34"/>
        <v>0</v>
      </c>
      <c r="M149" s="52">
        <f t="shared" si="34"/>
        <v>0</v>
      </c>
      <c r="N149" s="109">
        <f t="shared" si="31"/>
        <v>0</v>
      </c>
    </row>
    <row r="150" spans="1:14" x14ac:dyDescent="0.25">
      <c r="A150" s="128" t="s">
        <v>113</v>
      </c>
      <c r="B150" s="52">
        <f>B140</f>
        <v>0</v>
      </c>
      <c r="C150" s="52">
        <f t="shared" ref="C150:M150" si="35">C140</f>
        <v>0</v>
      </c>
      <c r="D150" s="52">
        <f t="shared" si="35"/>
        <v>0</v>
      </c>
      <c r="E150" s="52">
        <f t="shared" si="35"/>
        <v>0</v>
      </c>
      <c r="F150" s="52">
        <f t="shared" si="35"/>
        <v>0</v>
      </c>
      <c r="G150" s="52">
        <f t="shared" si="35"/>
        <v>0</v>
      </c>
      <c r="H150" s="52">
        <f t="shared" si="35"/>
        <v>0</v>
      </c>
      <c r="I150" s="52">
        <f t="shared" si="35"/>
        <v>0</v>
      </c>
      <c r="J150" s="52">
        <f t="shared" si="35"/>
        <v>0</v>
      </c>
      <c r="K150" s="52">
        <f t="shared" si="35"/>
        <v>0</v>
      </c>
      <c r="L150" s="52">
        <f t="shared" si="35"/>
        <v>0</v>
      </c>
      <c r="M150" s="52">
        <f t="shared" si="35"/>
        <v>0</v>
      </c>
      <c r="N150" s="109">
        <f t="shared" si="31"/>
        <v>0</v>
      </c>
    </row>
    <row r="151" spans="1:14" x14ac:dyDescent="0.25">
      <c r="A151" s="61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129"/>
    </row>
    <row r="152" ht="15.6" customHeight="1" spans="1:14" x14ac:dyDescent="0.25">
      <c r="A152" s="55" t="s">
        <v>114</v>
      </c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09"/>
    </row>
    <row r="153" ht="15.6" customHeight="1" spans="1:14" x14ac:dyDescent="0.25">
      <c r="A153" s="55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09"/>
    </row>
    <row r="154" ht="15.6" customHeight="1" spans="1:14" x14ac:dyDescent="0.25">
      <c r="A154" s="131" t="s">
        <v>115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132"/>
    </row>
    <row r="155" spans="1:14" x14ac:dyDescent="0.25">
      <c r="A155" s="133" t="s">
        <v>116</v>
      </c>
      <c r="B155" s="58">
        <v>775</v>
      </c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109">
        <f t="shared" ref="N155:N157" si="36">SUM(B155:M155)</f>
        <v>0</v>
      </c>
    </row>
    <row r="156" spans="1:14" x14ac:dyDescent="0.25">
      <c r="A156" s="133" t="s">
        <v>117</v>
      </c>
      <c r="B156" s="58">
        <v>1240</v>
      </c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109">
        <f t="shared" si="36"/>
        <v>0</v>
      </c>
    </row>
    <row r="157" spans="1:14" x14ac:dyDescent="0.25">
      <c r="A157" s="133" t="s">
        <v>118</v>
      </c>
      <c r="B157" s="58">
        <v>930</v>
      </c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109">
        <f t="shared" si="36"/>
        <v>0</v>
      </c>
    </row>
    <row r="158" ht="15.6" customHeight="1" spans="1:14" x14ac:dyDescent="0.25">
      <c r="A158" s="134" t="s">
        <v>119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112"/>
    </row>
    <row r="159" spans="1:14" x14ac:dyDescent="0.25">
      <c r="A159" s="133" t="s">
        <v>120</v>
      </c>
      <c r="B159" s="58">
        <v>0.625</v>
      </c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135" t="e">
        <f>AVERAGE(B159:M159)</f>
        <v>#DIV/0!</v>
      </c>
    </row>
    <row r="160" spans="1:14" x14ac:dyDescent="0.25">
      <c r="A160" s="133" t="s">
        <v>121</v>
      </c>
      <c r="B160" s="58">
        <v>1.5</v>
      </c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135" t="e">
        <f>AVERAGE(B160:M160)</f>
        <v>#DIV/0!</v>
      </c>
    </row>
    <row r="161" ht="15.6" customHeight="1" spans="1:14" x14ac:dyDescent="0.25">
      <c r="A161" s="131" t="s">
        <v>122</v>
      </c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132"/>
    </row>
    <row r="162" spans="1:14" x14ac:dyDescent="0.25">
      <c r="A162" s="136" t="s">
        <v>123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135"/>
    </row>
    <row r="163" spans="1:14" x14ac:dyDescent="0.25">
      <c r="A163" s="133" t="s">
        <v>124</v>
      </c>
      <c r="B163" s="58">
        <v>79</v>
      </c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109">
        <f t="shared" ref="N163:N167" si="37">SUM(B163:M163)</f>
        <v>0</v>
      </c>
    </row>
    <row r="164" spans="1:14" x14ac:dyDescent="0.25">
      <c r="A164" s="133" t="s">
        <v>125</v>
      </c>
      <c r="B164" s="58">
        <v>73</v>
      </c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109">
        <f t="shared" si="37"/>
        <v>0</v>
      </c>
    </row>
    <row r="165" spans="1:14" x14ac:dyDescent="0.25">
      <c r="A165" s="133" t="s">
        <v>126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109">
        <f t="shared" si="37"/>
        <v>0</v>
      </c>
    </row>
    <row r="166" spans="1:14" x14ac:dyDescent="0.25">
      <c r="A166" s="133" t="s">
        <v>127</v>
      </c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109">
        <f t="shared" si="37"/>
        <v>0</v>
      </c>
    </row>
    <row r="167" spans="1:14" x14ac:dyDescent="0.25">
      <c r="A167" s="133" t="s">
        <v>128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109">
        <f t="shared" si="37"/>
        <v>0</v>
      </c>
    </row>
    <row r="168" spans="1:14" x14ac:dyDescent="0.25">
      <c r="A168" s="136" t="s">
        <v>129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135"/>
    </row>
    <row r="169" spans="1:14" x14ac:dyDescent="0.25">
      <c r="A169" s="133" t="s">
        <v>124</v>
      </c>
      <c r="B169" s="58">
        <v>86</v>
      </c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109">
        <f t="shared" ref="N169:N173" si="38">SUM(B169:M169)</f>
        <v>0</v>
      </c>
    </row>
    <row r="170" spans="1:14" x14ac:dyDescent="0.25">
      <c r="A170" s="133" t="s">
        <v>125</v>
      </c>
      <c r="B170" s="58">
        <v>85</v>
      </c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109">
        <f t="shared" si="38"/>
        <v>0</v>
      </c>
    </row>
    <row r="171" spans="1:14" x14ac:dyDescent="0.25">
      <c r="A171" s="133" t="s">
        <v>126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109">
        <f t="shared" si="38"/>
        <v>0</v>
      </c>
    </row>
    <row r="172" spans="1:14" x14ac:dyDescent="0.25">
      <c r="A172" s="133" t="s">
        <v>127</v>
      </c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109">
        <f t="shared" si="38"/>
        <v>0</v>
      </c>
    </row>
    <row r="173" spans="1:14" x14ac:dyDescent="0.25">
      <c r="A173" s="133" t="s">
        <v>128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109">
        <f t="shared" si="38"/>
        <v>0</v>
      </c>
    </row>
    <row r="174" spans="1:2" x14ac:dyDescent="0.25">
      <c r="A174" s="61" t="s">
        <v>130</v>
      </c>
      <c r="B174" s="75"/>
    </row>
    <row r="175" spans="1:2" x14ac:dyDescent="0.25">
      <c r="A175" s="61" t="s">
        <v>131</v>
      </c>
      <c r="B175" s="75"/>
    </row>
    <row r="176" spans="1:2" x14ac:dyDescent="0.25">
      <c r="A176" s="75"/>
      <c r="B176" s="64" t="s">
        <v>135</v>
      </c>
    </row>
    <row r="177" spans="1:2" x14ac:dyDescent="0.25">
      <c r="A177" s="98" t="s">
        <v>136</v>
      </c>
      <c r="B177" s="64" t="s">
        <v>137</v>
      </c>
    </row>
    <row r="178" spans="1:2" x14ac:dyDescent="0.25">
      <c r="A178" s="64" t="s">
        <v>138</v>
      </c>
      <c r="B178" s="75"/>
    </row>
    <row r="179" spans="1:2" x14ac:dyDescent="0.25">
      <c r="A179" s="75"/>
      <c r="B179" s="75"/>
    </row>
    <row r="180" spans="1:2" x14ac:dyDescent="0.25">
      <c r="A180" s="64" t="s">
        <v>139</v>
      </c>
      <c r="B180" s="75"/>
    </row>
    <row r="181" spans="1:2" x14ac:dyDescent="0.25">
      <c r="A181" s="64" t="s">
        <v>140</v>
      </c>
      <c r="B181" s="7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 of Establishment</vt:lpstr>
      <vt:lpstr>AE DAE-1B by Country (Sum) </vt:lpstr>
      <vt:lpstr>AE DAE-1B (Monthly)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