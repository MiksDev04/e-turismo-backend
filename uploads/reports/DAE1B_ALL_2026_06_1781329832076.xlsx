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Juan's Resort" state="visible" r:id="rId4"/>
    <sheet sheetId="2" name="AE DAE-1B by Country (Sum)" state="visible" r:id="rId5"/>
    <sheet sheetId="3" name="AE DAE-1B (Monthly) Summary" state="visible" r:id="rId6"/>
  </sheets>
  <definedNames>
    <definedName name="_xlnm.Print_Area" localSheetId="0">'Juan's Resort'!$A1:$AG181</definedName>
    <definedName name="_xlnm.Print_Titles" localSheetId="0">'Juan's Resort'!$7:$8</definedName>
    <definedName name="_xlnm.Print_Area" localSheetId="1">'AE DAE-1B by Country (Sum)'!$A1:$B182</definedName>
    <definedName name="_xlnm.Print_Titles" localSheetId="1">'AE DAE-1B by Country (Sum)'!$7:$7</definedName>
  </definedNames>
  <calcPr calcId="171027"/>
</workbook>
</file>

<file path=xl/sharedStrings.xml><?xml version="1.0" encoding="utf-8"?>
<sst xmlns="http://schemas.openxmlformats.org/spreadsheetml/2006/main" count="530" uniqueCount="164">
  <si>
    <t>DAE-1B (Manual)</t>
  </si>
  <si>
    <r>
      <t xml:space="preserve">Region: </t>
    </r>
    <r>
      <rPr>
        <b/>
        <u/>
        <sz val="10"/>
        <rFont val="Arial"/>
      </rPr>
      <t>Region IV-A</t>
    </r>
  </si>
  <si>
    <t>Juan's Resort</t>
  </si>
  <si>
    <t xml:space="preserve">     JUNE, 2026    </t>
  </si>
  <si>
    <t>REPORT ON THE REGIONAL DISTRIBUTION OF TRAVELERS</t>
  </si>
  <si>
    <t xml:space="preserve">Type of Accommodation  </t>
  </si>
  <si>
    <t xml:space="preserve">                Hotel</t>
  </si>
  <si>
    <t xml:space="preserve">                Resort</t>
  </si>
  <si>
    <t>✔</t>
  </si>
  <si>
    <t xml:space="preserve">                Pension Inn/ Lodge</t>
  </si>
  <si>
    <t xml:space="preserve">                Youth Hostel/ Dormitory</t>
  </si>
  <si>
    <t xml:space="preserve">                Apartel/ Rented Homes/ Apartment</t>
  </si>
  <si>
    <t xml:space="preserve">                Others, please specify: _________________________</t>
  </si>
  <si>
    <r>
      <t>DOT Accreditation Classification: _</t>
    </r>
    <r>
      <rPr>
        <b/>
        <u/>
        <family val="2"/>
        <sz val="10"/>
        <rFont val="Arial"/>
      </rPr>
      <t>___</t>
    </r>
    <r>
      <rPr>
        <b/>
        <family val="2"/>
        <sz val="10"/>
        <rFont val="Arial"/>
      </rPr>
      <t>_________________________</t>
    </r>
  </si>
  <si>
    <t>AE ID Code (LGU Assigned): _________________________________________</t>
  </si>
  <si>
    <t>AE ID Code (LGU Assigned): ____________________________________________</t>
  </si>
  <si>
    <t>City/Municipality: San Pablo City</t>
  </si>
  <si>
    <t>Province: Laguna</t>
  </si>
  <si>
    <t>COUNTRY OF RESIDENCE</t>
  </si>
  <si>
    <t>TOTAL</t>
  </si>
  <si>
    <t>PHILIPPINE RESIDENTS</t>
  </si>
  <si>
    <t xml:space="preserve">   FILIPINO NATIONALITY</t>
  </si>
  <si>
    <t xml:space="preserve">   FOREIGN NATIONALITY</t>
  </si>
  <si>
    <t>TOTAL PHILIPPINE RESIDENTS</t>
  </si>
  <si>
    <t>NON-PHILIPPINE RESIDENTS</t>
  </si>
  <si>
    <t xml:space="preserve"> </t>
  </si>
  <si>
    <t>ASIA</t>
  </si>
  <si>
    <t xml:space="preserve">   ASEAN</t>
  </si>
  <si>
    <t xml:space="preserve">       BRUNEI</t>
  </si>
  <si>
    <t xml:space="preserve">       CAMBODIA</t>
  </si>
  <si>
    <t xml:space="preserve">       INDONESIA</t>
  </si>
  <si>
    <t xml:space="preserve">       LAOS</t>
  </si>
  <si>
    <t xml:space="preserve">       MALAYSIA</t>
  </si>
  <si>
    <t xml:space="preserve">       MYANMAR</t>
  </si>
  <si>
    <t xml:space="preserve">       SINGAPORE</t>
  </si>
  <si>
    <t xml:space="preserve">       THAILAND</t>
  </si>
  <si>
    <t xml:space="preserve">       VIETNAM</t>
  </si>
  <si>
    <t xml:space="preserve">                 SUB-TOTAL</t>
  </si>
  <si>
    <t xml:space="preserve">   EAST ASIA</t>
  </si>
  <si>
    <t xml:space="preserve">       CHINA</t>
  </si>
  <si>
    <t xml:space="preserve">       HONGKONG</t>
  </si>
  <si>
    <t xml:space="preserve">       JAPAN</t>
  </si>
  <si>
    <t xml:space="preserve">       KOREA</t>
  </si>
  <si>
    <t xml:space="preserve">       TAIWAN</t>
  </si>
  <si>
    <t xml:space="preserve">                SUB-TOTAL</t>
  </si>
  <si>
    <t xml:space="preserve">   SOUTH ASIA</t>
  </si>
  <si>
    <t xml:space="preserve">       BANGLADESH</t>
  </si>
  <si>
    <t xml:space="preserve">       INDIA</t>
  </si>
  <si>
    <t xml:space="preserve">       IRAN</t>
  </si>
  <si>
    <t xml:space="preserve">       NEPAL</t>
  </si>
  <si>
    <t xml:space="preserve">       PAKISTAN</t>
  </si>
  <si>
    <t xml:space="preserve">       SRI LANKA</t>
  </si>
  <si>
    <t xml:space="preserve">   MIDDLE EAST</t>
  </si>
  <si>
    <t xml:space="preserve">       BAHRAIN</t>
  </si>
  <si>
    <t xml:space="preserve">       EGYPT</t>
  </si>
  <si>
    <t xml:space="preserve">       ISRAEL</t>
  </si>
  <si>
    <t xml:space="preserve">       JORDAN</t>
  </si>
  <si>
    <t xml:space="preserve">       KUWAIT</t>
  </si>
  <si>
    <t xml:space="preserve">       SAUDI ARABIA</t>
  </si>
  <si>
    <t xml:space="preserve">      UNITED ARAB EMIRATES</t>
  </si>
  <si>
    <t>AMERICA</t>
  </si>
  <si>
    <t xml:space="preserve">   NORTH AMERICA</t>
  </si>
  <si>
    <t xml:space="preserve">       CANADA</t>
  </si>
  <si>
    <t xml:space="preserve">       MEXICO</t>
  </si>
  <si>
    <t xml:space="preserve">       USA</t>
  </si>
  <si>
    <t xml:space="preserve">   SOUTH AMERICA</t>
  </si>
  <si>
    <t xml:space="preserve">       ARGENTINA</t>
  </si>
  <si>
    <t xml:space="preserve">       BRAZIL</t>
  </si>
  <si>
    <t xml:space="preserve">       COLOMBIA</t>
  </si>
  <si>
    <t xml:space="preserve">       PERU</t>
  </si>
  <si>
    <t xml:space="preserve">       VENEZUELA</t>
  </si>
  <si>
    <t>EUROPE</t>
  </si>
  <si>
    <t xml:space="preserve">   WESTERN EUROPE</t>
  </si>
  <si>
    <t xml:space="preserve">       AUSTRIA</t>
  </si>
  <si>
    <t xml:space="preserve">       BELGIUM</t>
  </si>
  <si>
    <t xml:space="preserve">       FRANCE</t>
  </si>
  <si>
    <t xml:space="preserve">       GERMANY</t>
  </si>
  <si>
    <t xml:space="preserve">       LUXEMBOURG</t>
  </si>
  <si>
    <t xml:space="preserve">       NETHERLANDS</t>
  </si>
  <si>
    <t xml:space="preserve">       SWITZERLAND</t>
  </si>
  <si>
    <t xml:space="preserve">   NORTHERN EUROPE</t>
  </si>
  <si>
    <t xml:space="preserve">       DENMARK</t>
  </si>
  <si>
    <t xml:space="preserve">       FINLAND</t>
  </si>
  <si>
    <t xml:space="preserve">       IRELAND</t>
  </si>
  <si>
    <t xml:space="preserve">       NORWAY</t>
  </si>
  <si>
    <t xml:space="preserve">       SWEDEN </t>
  </si>
  <si>
    <t xml:space="preserve">       UNITED KINGDOM</t>
  </si>
  <si>
    <t xml:space="preserve">   SOUTHERN EUROPE</t>
  </si>
  <si>
    <t xml:space="preserve">       GREECE</t>
  </si>
  <si>
    <t xml:space="preserve">       ITALY</t>
  </si>
  <si>
    <t xml:space="preserve">       PORTUGAL</t>
  </si>
  <si>
    <t xml:space="preserve">       SPAIN</t>
  </si>
  <si>
    <t xml:space="preserve">       UNION OF SERBIA AND MONTENEGRO</t>
  </si>
  <si>
    <t xml:space="preserve">   EASTERN EUROPE</t>
  </si>
  <si>
    <t xml:space="preserve">       COMMONWEALTH OF INDEPENDENT STATES </t>
  </si>
  <si>
    <t xml:space="preserve">       POLAND</t>
  </si>
  <si>
    <t xml:space="preserve">       RUSSIA</t>
  </si>
  <si>
    <t>AUSTRALASIA/PACIFIC</t>
  </si>
  <si>
    <t xml:space="preserve">       AUSTRALIA</t>
  </si>
  <si>
    <t xml:space="preserve">       GUAM</t>
  </si>
  <si>
    <t xml:space="preserve">       NAURU</t>
  </si>
  <si>
    <t xml:space="preserve">       NEW ZEALAND</t>
  </si>
  <si>
    <t xml:space="preserve">       PAPUA NEW GUINEA</t>
  </si>
  <si>
    <t>AFRICA</t>
  </si>
  <si>
    <t xml:space="preserve">       NIGERIA</t>
  </si>
  <si>
    <t xml:space="preserve">       SOUTH AFRICA</t>
  </si>
  <si>
    <t xml:space="preserve">OTHERS AND UNSPECIFIED </t>
  </si>
  <si>
    <t>NON-PHILIPPINE RESIDENCES</t>
  </si>
  <si>
    <t>TOTAL NON-PHILIPPINE RESIDENTS</t>
  </si>
  <si>
    <t>OVERSEAS FILIPINOS*</t>
  </si>
  <si>
    <t>GRAND TOTAL GUEST ARRIVALS</t>
  </si>
  <si>
    <t xml:space="preserve">   Total Philippine Residents</t>
  </si>
  <si>
    <t xml:space="preserve">   Total Non-Philippine Residents</t>
  </si>
  <si>
    <t xml:space="preserve">   Total Overseas Filipinos</t>
  </si>
  <si>
    <t xml:space="preserve">   Total Guest with Unspecified Residence</t>
  </si>
  <si>
    <t>PART II.  Other Indicators</t>
  </si>
  <si>
    <t>A. DAE2:</t>
  </si>
  <si>
    <t>1. Rooms Occupied</t>
  </si>
  <si>
    <t>2. Rooms available for the month</t>
  </si>
  <si>
    <t>3. Total Guest nights</t>
  </si>
  <si>
    <t>Alternative Submission</t>
  </si>
  <si>
    <t>1. Average Monthly Occupancy Rate</t>
  </si>
  <si>
    <t>2. Average Length of Stay (in Nights)</t>
  </si>
  <si>
    <t>B. VOLUME PER SEX</t>
  </si>
  <si>
    <t>1. Male</t>
  </si>
  <si>
    <t>a. Philippine Residents</t>
  </si>
  <si>
    <t>b. Non-Philippine/Foreign Residents (including unspecified)</t>
  </si>
  <si>
    <t>c. Overseas Filipinos</t>
  </si>
  <si>
    <t>d. Others/Unspecified Guest</t>
  </si>
  <si>
    <t>0.00</t>
  </si>
  <si>
    <t>30.00</t>
  </si>
  <si>
    <t>x. Total</t>
  </si>
  <si>
    <t>0</t>
  </si>
  <si>
    <t>2.00</t>
  </si>
  <si>
    <t>2. Female</t>
  </si>
  <si>
    <t xml:space="preserve">* Philippine passport holders permanently residing abroad; excludes overseas Filipino workers </t>
  </si>
  <si>
    <t>and Former Filipinos</t>
  </si>
  <si>
    <t xml:space="preserve">Prepared by:            ____________________________________                         ________________________________________                         ____________________________________                                                    </t>
  </si>
  <si>
    <t>Date Submitted: 6/13/2026</t>
  </si>
  <si>
    <t>MIKO GAPASAN</t>
  </si>
  <si>
    <t>DAE-1B(Manual-Summary)</t>
  </si>
  <si>
    <t>Region: __4-A</t>
  </si>
  <si>
    <t>All Accommodation Establishments — Combined</t>
  </si>
  <si>
    <t>JUNE, 2026</t>
  </si>
  <si>
    <t>1.56</t>
  </si>
  <si>
    <t>Date Submitted:</t>
  </si>
  <si>
    <t xml:space="preserve">Prepared by:        ____________________________________                         </t>
  </si>
  <si>
    <t>________________</t>
  </si>
  <si>
    <t xml:space="preserve">                                           Signature over Printed Name                                                    </t>
  </si>
  <si>
    <t xml:space="preserve">                              _____________________________________</t>
  </si>
  <si>
    <t xml:space="preserve">                                                Position/Designation                                        </t>
  </si>
  <si>
    <t>2026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</si>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</sst>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family val="2"/>
      <sz val="8"/>
      <name val="Arial"/>
    </font>
    <font>
      <b/>
      <family val="2"/>
      <sz val="10"/>
      <name val="Arial"/>
    </font>
    <font>
      <b/>
      <u/>
      <family val="2"/>
      <sz val="10"/>
      <name val="Arial"/>
    </font>
    <font>
      <i/>
      <family val="2"/>
      <sz val="10"/>
      <name val="Arial"/>
    </font>
    <font>
      <b/>
      <i/>
      <u/>
      <family val="2"/>
      <sz val="12"/>
      <name val="Arial"/>
    </font>
    <font>
      <family val="2"/>
      <sz val="12"/>
      <name val="Arial"/>
    </font>
    <font>
      <b/>
      <family val="2"/>
      <sz val="12"/>
      <name val="Arial"/>
    </font>
    <font>
      <b/>
      <family val="2"/>
      <sz val="8"/>
      <name val="Arial"/>
    </font>
    <font>
      <b/>
      <i/>
      <family val="1"/>
      <sz val="8"/>
      <name val="Bell MT"/>
    </font>
    <font>
      <b/>
      <i/>
      <family val="2"/>
      <sz val="8"/>
      <name val="Arial"/>
    </font>
    <font>
      <family val="2"/>
      <sz val="9"/>
      <name val="Arial"/>
    </font>
    <font>
      <b/>
      <family val="2"/>
      <sz val="9"/>
      <name val="Arial"/>
    </font>
    <font>
      <b/>
      <i/>
      <family val="2"/>
      <sz val="12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center" vertical="top"/>
      <protection locked="0"/>
    </xf>
    <xf numFmtId="0" fontId="5" fillId="2" borderId="0" xfId="0" applyFont="1" applyFill="1" applyAlignment="1" applyProtection="1">
      <alignment horizontal="center" vertical="top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2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0" fillId="3" borderId="1" xfId="0" applyFont="1" applyFill="1" applyBorder="1" applyProtection="1">
      <protection locked="0"/>
    </xf>
    <xf numFmtId="0" fontId="11" fillId="3" borderId="1" xfId="0" applyFont="1" applyFill="1" applyBorder="1" applyProtection="1">
      <protection locked="0"/>
    </xf>
    <xf numFmtId="0" fontId="10" fillId="3" borderId="1" xfId="0" applyFont="1" applyFill="1" applyBorder="1" applyAlignment="1" applyProtection="1">
      <alignment horizontal="center"/>
      <protection locked="0"/>
    </xf>
    <xf numFmtId="0" fontId="3" fillId="4" borderId="2" xfId="0" applyFont="1" applyFill="1" applyBorder="1" applyProtection="1">
      <protection locked="0"/>
    </xf>
    <xf numFmtId="0" fontId="3" fillId="4" borderId="3" xfId="0" applyFont="1" applyFill="1" applyBorder="1" applyProtection="1">
      <protection locked="0"/>
    </xf>
    <xf numFmtId="0" fontId="3" fillId="4" borderId="4" xfId="0" applyFont="1" applyFill="1" applyBorder="1" applyProtection="1">
      <protection locked="0"/>
    </xf>
    <xf numFmtId="0" fontId="10" fillId="5" borderId="3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2" fillId="2" borderId="3" xfId="0" applyFont="1" applyFill="1" applyBorder="1" applyProtection="1">
      <protection locked="0"/>
    </xf>
    <xf numFmtId="0" fontId="12" fillId="2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0" fillId="6" borderId="3" xfId="0" applyFont="1" applyFill="1" applyBorder="1" applyProtection="1">
      <protection locked="0"/>
    </xf>
    <xf numFmtId="0" fontId="10" fillId="6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2" fillId="5" borderId="3" xfId="0" applyFont="1" applyFill="1" applyBorder="1" applyProtection="1">
      <protection locked="0"/>
    </xf>
    <xf numFmtId="0" fontId="12" fillId="7" borderId="3" xfId="0" applyFont="1" applyFill="1" applyBorder="1" applyProtection="1">
      <protection locked="0"/>
    </xf>
    <xf numFmtId="0" fontId="12" fillId="7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2" fillId="4" borderId="3" xfId="0" applyFont="1" applyFill="1" applyBorder="1" applyProtection="1">
      <protection locked="0"/>
    </xf>
    <xf numFmtId="0" fontId="12" fillId="4" borderId="4" xfId="0" applyFont="1" applyFill="1" applyBorder="1" applyProtection="1">
      <protection locked="0"/>
    </xf>
    <xf numFmtId="0" fontId="10" fillId="4" borderId="3" xfId="0" applyFont="1" applyFill="1" applyBorder="1" applyProtection="1">
      <protection locked="0"/>
    </xf>
    <xf numFmtId="0" fontId="12" fillId="5" borderId="3" xfId="0" applyFont="1" applyFill="1" applyBorder="1"/>
    <xf numFmtId="0" fontId="3" fillId="4" borderId="3" xfId="0" applyFont="1" applyFill="1" applyBorder="1"/>
    <xf numFmtId="0" fontId="10" fillId="6" borderId="3" xfId="0" applyFont="1" applyFill="1" applyBorder="1"/>
    <xf numFmtId="0" fontId="10" fillId="4" borderId="3" xfId="0" applyFont="1" applyFill="1" applyBorder="1"/>
    <xf numFmtId="0" fontId="10" fillId="8" borderId="1" xfId="0" applyFont="1" applyFill="1" applyBorder="1"/>
    <xf numFmtId="0" fontId="10" fillId="8" borderId="1" xfId="0" applyFont="1" applyFill="1" applyBorder="1" applyProtection="1">
      <protection locked="0"/>
    </xf>
    <xf numFmtId="0" fontId="3" fillId="8" borderId="1" xfId="0" applyFont="1" applyFill="1" applyBorder="1" applyProtection="1">
      <protection locked="0"/>
    </xf>
    <xf numFmtId="0" fontId="10" fillId="6" borderId="1" xfId="0" applyFont="1" applyFill="1" applyBorder="1"/>
    <xf numFmtId="0" fontId="13" fillId="2" borderId="1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9" fillId="2" borderId="5" xfId="0" applyFont="1" applyFill="1" applyBorder="1"/>
    <xf numFmtId="0" fontId="14" fillId="2" borderId="0" xfId="0" applyFont="1" applyFill="1" applyProtection="1">
      <protection locked="0"/>
    </xf>
    <xf numFmtId="0" fontId="9" fillId="8" borderId="1" xfId="0" applyFont="1" applyFill="1" applyBorder="1"/>
    <xf numFmtId="0" fontId="13" fillId="2" borderId="1" xfId="0" applyFont="1" applyFill="1" applyBorder="1"/>
    <xf numFmtId="0" fontId="15" fillId="4" borderId="1" xfId="0" applyFont="1" applyFill="1" applyBorder="1"/>
    <xf numFmtId="0" fontId="14" fillId="2" borderId="1" xfId="0" applyFont="1" applyFill="1" applyBorder="1"/>
    <xf numFmtId="0" fontId="13" fillId="2" borderId="0" xfId="0" applyFont="1" applyFill="1"/>
    <xf numFmtId="0" fontId="1" fillId="9" borderId="0" xfId="0" applyFont="1" applyFill="1" applyProtection="1"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4" xfId="0" applyFont="1" applyFill="1" applyBorder="1"/>
    <xf numFmtId="0" fontId="10" fillId="5" borderId="3" xfId="0" applyFont="1" applyFill="1" applyBorder="1"/>
    <xf numFmtId="0" fontId="3" fillId="5" borderId="1" xfId="0" applyFont="1" applyFill="1" applyBorder="1"/>
    <xf numFmtId="0" fontId="12" fillId="2" borderId="3" xfId="0" applyFont="1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12" fillId="7" borderId="3" xfId="0" applyFont="1" applyFill="1" applyBorder="1"/>
    <xf numFmtId="0" fontId="12" fillId="4" borderId="3" xfId="0" applyFont="1" applyFill="1" applyBorder="1"/>
    <xf numFmtId="0" fontId="12" fillId="4" borderId="4" xfId="0" applyFont="1" applyFill="1" applyBorder="1"/>
    <xf numFmtId="0" fontId="3" fillId="8" borderId="1" xfId="0" applyFont="1" applyFill="1" applyBorder="1"/>
    <xf numFmtId="0" fontId="2" fillId="9" borderId="0" xfId="0" applyFont="1" applyFill="1"/>
    <xf numFmtId="0" fontId="10" fillId="3" borderId="5" xfId="0" applyFont="1" applyFill="1" applyBorder="1"/>
    <xf numFmtId="0" fontId="10" fillId="3" borderId="1" xfId="0" applyFont="1" applyFill="1" applyBorder="1" applyAlignment="1">
      <alignment horizontal="center" vertical="top"/>
    </xf>
    <xf numFmtId="0" fontId="10" fillId="3" borderId="6" xfId="0" applyFont="1" applyFill="1" applyBorder="1" applyAlignment="1">
      <alignment horizontal="center"/>
    </xf>
    <xf numFmtId="0" fontId="3" fillId="4" borderId="7" xfId="0" applyFont="1" applyFill="1" applyBorder="1"/>
    <xf numFmtId="0" fontId="3" fillId="4" borderId="8" xfId="0" applyFont="1" applyFill="1" applyBorder="1"/>
    <xf numFmtId="0" fontId="10" fillId="5" borderId="9" xfId="0" applyFont="1" applyFill="1" applyBorder="1"/>
    <xf numFmtId="0" fontId="10" fillId="5" borderId="1" xfId="0" applyFont="1" applyFill="1" applyBorder="1"/>
    <xf numFmtId="0" fontId="3" fillId="5" borderId="6" xfId="0" applyFont="1" applyFill="1" applyBorder="1"/>
    <xf numFmtId="0" fontId="12" fillId="2" borderId="9" xfId="0" applyFont="1" applyFill="1" applyBorder="1"/>
    <xf numFmtId="0" fontId="12" fillId="2" borderId="1" xfId="0" applyFont="1" applyFill="1" applyBorder="1"/>
    <xf numFmtId="0" fontId="10" fillId="2" borderId="6" xfId="0" applyFont="1" applyFill="1" applyBorder="1"/>
    <xf numFmtId="0" fontId="10" fillId="6" borderId="9" xfId="0" applyFont="1" applyFill="1" applyBorder="1"/>
    <xf numFmtId="0" fontId="3" fillId="4" borderId="9" xfId="0" applyFont="1" applyFill="1" applyBorder="1"/>
    <xf numFmtId="0" fontId="10" fillId="4" borderId="6" xfId="0" applyFont="1" applyFill="1" applyBorder="1"/>
    <xf numFmtId="0" fontId="10" fillId="5" borderId="6" xfId="0" applyFont="1" applyFill="1" applyBorder="1"/>
    <xf numFmtId="0" fontId="12" fillId="5" borderId="9" xfId="0" applyFont="1" applyFill="1" applyBorder="1"/>
    <xf numFmtId="0" fontId="12" fillId="5" borderId="1" xfId="0" applyFont="1" applyFill="1" applyBorder="1"/>
    <xf numFmtId="0" fontId="12" fillId="7" borderId="9" xfId="0" applyFont="1" applyFill="1" applyBorder="1"/>
    <xf numFmtId="0" fontId="12" fillId="7" borderId="1" xfId="0" applyFont="1" applyFill="1" applyBorder="1"/>
    <xf numFmtId="0" fontId="12" fillId="4" borderId="9" xfId="0" applyFont="1" applyFill="1" applyBorder="1"/>
    <xf numFmtId="0" fontId="12" fillId="4" borderId="1" xfId="0" applyFont="1" applyFill="1" applyBorder="1"/>
    <xf numFmtId="0" fontId="12" fillId="4" borderId="10" xfId="0" applyFont="1" applyFill="1" applyBorder="1"/>
    <xf numFmtId="0" fontId="10" fillId="4" borderId="9" xfId="0" applyFont="1" applyFill="1" applyBorder="1"/>
    <xf numFmtId="0" fontId="10" fillId="4" borderId="1" xfId="0" applyFont="1" applyFill="1" applyBorder="1"/>
    <xf numFmtId="0" fontId="10" fillId="4" borderId="8" xfId="0" applyFont="1" applyFill="1" applyBorder="1"/>
    <xf numFmtId="0" fontId="12" fillId="0" borderId="1" xfId="0" applyFont="1" applyBorder="1"/>
    <xf numFmtId="0" fontId="10" fillId="4" borderId="11" xfId="0" applyFont="1" applyFill="1" applyBorder="1"/>
    <xf numFmtId="0" fontId="10" fillId="8" borderId="5" xfId="0" applyFont="1" applyFill="1" applyBorder="1"/>
    <xf numFmtId="0" fontId="10" fillId="6" borderId="5" xfId="0" applyFont="1" applyFill="1" applyBorder="1"/>
    <xf numFmtId="0" fontId="10" fillId="2" borderId="0" xfId="0" applyFont="1" applyFill="1"/>
    <xf numFmtId="0" fontId="9" fillId="2" borderId="1" xfId="0" applyFont="1" applyFill="1" applyBorder="1"/>
    <xf numFmtId="0" fontId="9" fillId="8" borderId="5" xfId="0" applyFont="1" applyFill="1" applyBorder="1"/>
    <xf numFmtId="0" fontId="10" fillId="8" borderId="6" xfId="0" applyFont="1" applyFill="1" applyBorder="1"/>
    <xf numFmtId="0" fontId="13" fillId="2" borderId="5" xfId="0" applyFont="1" applyFill="1" applyBorder="1"/>
    <xf numFmtId="0" fontId="15" fillId="4" borderId="5" xfId="0" applyFont="1" applyFill="1" applyBorder="1"/>
    <xf numFmtId="0" fontId="14" fillId="2" borderId="6" xfId="0" applyFont="1" applyFill="1" applyBorder="1"/>
    <xf numFmtId="0" fontId="14" fillId="2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1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13" t="s">
        <v>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>
        <v>2</v>
      </c>
      <c r="N28" s="23">
        <v>1</v>
      </c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>
        <f>SUM(B28:AF28)</f>
      </c>
    </row>
    <row r="29" spans="1:33" x14ac:dyDescent="0.25">
      <c r="A29" s="22" t="s">
        <v>22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4">
        <f t="shared" ref="AG29:AG30" si="0">SUM(B29:AF29)</f>
      </c>
    </row>
    <row r="30" spans="1:33" x14ac:dyDescent="0.25">
      <c r="A30" s="25" t="s">
        <v>23</v>
      </c>
      <c r="B30" s="26">
        <f>SUM(B28:B29)</f>
      </c>
      <c r="C30" s="26">
        <f t="shared" ref="C30:AF30" si="1">SUM(C28:C29)</f>
      </c>
      <c r="D30" s="26">
        <f t="shared" si="1"/>
      </c>
      <c r="E30" s="26">
        <f t="shared" si="1"/>
      </c>
      <c r="F30" s="26">
        <f t="shared" si="1"/>
      </c>
      <c r="G30" s="26">
        <f t="shared" si="1"/>
      </c>
      <c r="H30" s="26">
        <f t="shared" si="1"/>
      </c>
      <c r="I30" s="26">
        <f t="shared" si="1"/>
      </c>
      <c r="J30" s="26">
        <f t="shared" si="1"/>
      </c>
      <c r="K30" s="26">
        <f t="shared" si="1"/>
      </c>
      <c r="L30" s="26">
        <f t="shared" si="1"/>
      </c>
      <c r="M30" s="26">
        <f t="shared" si="1"/>
      </c>
      <c r="N30" s="26">
        <f t="shared" si="1"/>
      </c>
      <c r="O30" s="26">
        <f t="shared" si="1"/>
      </c>
      <c r="P30" s="26">
        <f t="shared" si="1"/>
      </c>
      <c r="Q30" s="26">
        <f t="shared" si="1"/>
      </c>
      <c r="R30" s="26">
        <f t="shared" si="1"/>
      </c>
      <c r="S30" s="26">
        <f t="shared" si="1"/>
      </c>
      <c r="T30" s="26">
        <f t="shared" si="1"/>
      </c>
      <c r="U30" s="26">
        <f t="shared" si="1"/>
      </c>
      <c r="V30" s="26">
        <f t="shared" si="1"/>
      </c>
      <c r="W30" s="26">
        <f t="shared" si="1"/>
      </c>
      <c r="X30" s="26">
        <f t="shared" si="1"/>
      </c>
      <c r="Y30" s="26">
        <f t="shared" si="1"/>
      </c>
      <c r="Z30" s="26">
        <f t="shared" si="1"/>
      </c>
      <c r="AA30" s="26">
        <f t="shared" si="1"/>
      </c>
      <c r="AB30" s="26">
        <f t="shared" si="1"/>
      </c>
      <c r="AC30" s="26">
        <f t="shared" si="1"/>
      </c>
      <c r="AD30" s="26">
        <f t="shared" si="1"/>
      </c>
      <c r="AE30" s="26">
        <f t="shared" si="1"/>
      </c>
      <c r="AF30" s="26">
        <f t="shared" si="1"/>
      </c>
      <c r="AG30" s="27">
        <f t="shared" si="0"/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4">
        <f t="shared" ref="AG36:AG45" si="2">SUM(B36:AF36)</f>
      </c>
    </row>
    <row r="37" spans="1:33" x14ac:dyDescent="0.25">
      <c r="A37" s="22" t="s">
        <v>29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4">
        <f t="shared" si="2"/>
      </c>
    </row>
    <row r="38" spans="1:33" x14ac:dyDescent="0.25">
      <c r="A38" s="22" t="s">
        <v>30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4">
        <f t="shared" si="2"/>
      </c>
    </row>
    <row r="39" spans="1:33" x14ac:dyDescent="0.25">
      <c r="A39" s="22" t="s">
        <v>31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4">
        <f t="shared" si="2"/>
      </c>
    </row>
    <row r="40" spans="1:33" x14ac:dyDescent="0.25">
      <c r="A40" s="22" t="s">
        <v>32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4">
        <f t="shared" si="2"/>
      </c>
    </row>
    <row r="41" spans="1:33" x14ac:dyDescent="0.25">
      <c r="A41" s="22" t="s">
        <v>33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4">
        <f t="shared" si="2"/>
      </c>
    </row>
    <row r="42" spans="1:33" x14ac:dyDescent="0.25">
      <c r="A42" s="22" t="s">
        <v>34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4">
        <f t="shared" si="2"/>
      </c>
    </row>
    <row r="43" spans="1:33" x14ac:dyDescent="0.25">
      <c r="A43" s="22" t="s">
        <v>35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4">
        <f t="shared" si="2"/>
      </c>
    </row>
    <row r="44" spans="1:33" x14ac:dyDescent="0.25">
      <c r="A44" s="22" t="s">
        <v>36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4">
        <f t="shared" si="2"/>
      </c>
    </row>
    <row r="45" spans="1:33" x14ac:dyDescent="0.25">
      <c r="A45" s="30" t="s">
        <v>37</v>
      </c>
      <c r="B45" s="31">
        <f>SUM(B36:B44)</f>
      </c>
      <c r="C45" s="31">
        <f t="shared" ref="C45:AF45" si="3">SUM(C36:C44)</f>
      </c>
      <c r="D45" s="31">
        <f t="shared" si="3"/>
      </c>
      <c r="E45" s="31">
        <f t="shared" si="3"/>
      </c>
      <c r="F45" s="31">
        <f t="shared" si="3"/>
      </c>
      <c r="G45" s="31">
        <f t="shared" si="3"/>
      </c>
      <c r="H45" s="31">
        <f t="shared" si="3"/>
      </c>
      <c r="I45" s="31">
        <f t="shared" si="3"/>
      </c>
      <c r="J45" s="31">
        <f t="shared" si="3"/>
      </c>
      <c r="K45" s="31">
        <f t="shared" si="3"/>
      </c>
      <c r="L45" s="31">
        <f t="shared" si="3"/>
      </c>
      <c r="M45" s="31">
        <f t="shared" si="3"/>
      </c>
      <c r="N45" s="31">
        <f t="shared" si="3"/>
      </c>
      <c r="O45" s="31">
        <f t="shared" si="3"/>
      </c>
      <c r="P45" s="31">
        <f t="shared" si="3"/>
      </c>
      <c r="Q45" s="31">
        <f t="shared" si="3"/>
      </c>
      <c r="R45" s="31">
        <f t="shared" si="3"/>
      </c>
      <c r="S45" s="31">
        <f t="shared" si="3"/>
      </c>
      <c r="T45" s="31">
        <f t="shared" si="3"/>
      </c>
      <c r="U45" s="31">
        <f t="shared" si="3"/>
      </c>
      <c r="V45" s="31">
        <f t="shared" si="3"/>
      </c>
      <c r="W45" s="31">
        <f t="shared" si="3"/>
      </c>
      <c r="X45" s="31">
        <f t="shared" si="3"/>
      </c>
      <c r="Y45" s="31">
        <f t="shared" si="3"/>
      </c>
      <c r="Z45" s="31">
        <f t="shared" si="3"/>
      </c>
      <c r="AA45" s="31">
        <f t="shared" si="3"/>
      </c>
      <c r="AB45" s="31">
        <f t="shared" si="3"/>
      </c>
      <c r="AC45" s="31">
        <f t="shared" si="3"/>
      </c>
      <c r="AD45" s="31">
        <f t="shared" si="3"/>
      </c>
      <c r="AE45" s="31">
        <f t="shared" si="3"/>
      </c>
      <c r="AF45" s="31">
        <f t="shared" si="3"/>
      </c>
      <c r="AG45" s="32">
        <f t="shared" si="2"/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4">
        <f t="shared" ref="AG48:AG53" si="4">SUM(B48:AF48)</f>
      </c>
    </row>
    <row r="49" spans="1:33" x14ac:dyDescent="0.25">
      <c r="A49" s="22" t="s">
        <v>40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4">
        <f t="shared" si="4"/>
      </c>
    </row>
    <row r="50" spans="1:33" x14ac:dyDescent="0.25">
      <c r="A50" s="22" t="s">
        <v>41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4">
        <f t="shared" si="4"/>
      </c>
    </row>
    <row r="51" spans="1:33" x14ac:dyDescent="0.25">
      <c r="A51" s="22" t="s">
        <v>42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4">
        <f t="shared" si="4"/>
      </c>
    </row>
    <row r="52" spans="1:33" x14ac:dyDescent="0.25">
      <c r="A52" s="22" t="s">
        <v>43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4">
        <f t="shared" si="4"/>
      </c>
    </row>
    <row r="53" spans="1:33" x14ac:dyDescent="0.25">
      <c r="A53" s="30" t="s">
        <v>44</v>
      </c>
      <c r="B53" s="31">
        <f>SUM(B48:B52)</f>
      </c>
      <c r="C53" s="31">
        <f t="shared" ref="C53:AF53" si="5">SUM(C48:C52)</f>
      </c>
      <c r="D53" s="31">
        <f t="shared" si="5"/>
      </c>
      <c r="E53" s="31">
        <f t="shared" si="5"/>
      </c>
      <c r="F53" s="31">
        <f t="shared" si="5"/>
      </c>
      <c r="G53" s="31">
        <f t="shared" si="5"/>
      </c>
      <c r="H53" s="31">
        <f t="shared" si="5"/>
      </c>
      <c r="I53" s="31">
        <f t="shared" si="5"/>
      </c>
      <c r="J53" s="31">
        <f t="shared" si="5"/>
      </c>
      <c r="K53" s="31">
        <f t="shared" si="5"/>
      </c>
      <c r="L53" s="31">
        <f t="shared" si="5"/>
      </c>
      <c r="M53" s="31">
        <f t="shared" si="5"/>
      </c>
      <c r="N53" s="31">
        <f t="shared" si="5"/>
      </c>
      <c r="O53" s="31">
        <f t="shared" si="5"/>
      </c>
      <c r="P53" s="31">
        <f t="shared" si="5"/>
      </c>
      <c r="Q53" s="31">
        <f t="shared" si="5"/>
      </c>
      <c r="R53" s="31">
        <f t="shared" si="5"/>
      </c>
      <c r="S53" s="31">
        <f t="shared" si="5"/>
      </c>
      <c r="T53" s="31">
        <f t="shared" si="5"/>
      </c>
      <c r="U53" s="31">
        <f t="shared" si="5"/>
      </c>
      <c r="V53" s="31">
        <f t="shared" si="5"/>
      </c>
      <c r="W53" s="31">
        <f t="shared" si="5"/>
      </c>
      <c r="X53" s="31">
        <f t="shared" si="5"/>
      </c>
      <c r="Y53" s="31">
        <f t="shared" si="5"/>
      </c>
      <c r="Z53" s="31">
        <f t="shared" si="5"/>
      </c>
      <c r="AA53" s="31">
        <f t="shared" si="5"/>
      </c>
      <c r="AB53" s="31">
        <f t="shared" si="5"/>
      </c>
      <c r="AC53" s="31">
        <f t="shared" si="5"/>
      </c>
      <c r="AD53" s="31">
        <f t="shared" si="5"/>
      </c>
      <c r="AE53" s="31">
        <f t="shared" si="5"/>
      </c>
      <c r="AF53" s="31">
        <f t="shared" si="5"/>
      </c>
      <c r="AG53" s="32">
        <f t="shared" si="4"/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4">
        <f t="shared" ref="AG56:AG62" si="6">SUM(B56:AF56)</f>
      </c>
    </row>
    <row r="57" spans="1:33" x14ac:dyDescent="0.25">
      <c r="A57" s="22" t="s">
        <v>47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4">
        <f t="shared" si="6"/>
      </c>
    </row>
    <row r="58" spans="1:33" x14ac:dyDescent="0.25">
      <c r="A58" s="22" t="s">
        <v>48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4">
        <f t="shared" si="6"/>
      </c>
    </row>
    <row r="59" spans="1:33" x14ac:dyDescent="0.25">
      <c r="A59" s="22" t="s">
        <v>49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4">
        <f t="shared" si="6"/>
      </c>
    </row>
    <row r="60" spans="1:33" x14ac:dyDescent="0.25">
      <c r="A60" s="22" t="s">
        <v>50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4">
        <f t="shared" si="6"/>
      </c>
    </row>
    <row r="61" spans="1:33" x14ac:dyDescent="0.25">
      <c r="A61" s="22" t="s">
        <v>51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4">
        <f t="shared" si="6"/>
      </c>
    </row>
    <row r="62" spans="1:33" x14ac:dyDescent="0.25">
      <c r="A62" s="30" t="s">
        <v>37</v>
      </c>
      <c r="B62" s="31">
        <f>SUM(B56:B61)</f>
      </c>
      <c r="C62" s="31">
        <f t="shared" ref="C62:AF62" si="7">SUM(C56:C61)</f>
      </c>
      <c r="D62" s="31">
        <f t="shared" si="7"/>
      </c>
      <c r="E62" s="31">
        <f t="shared" si="7"/>
      </c>
      <c r="F62" s="31">
        <f t="shared" si="7"/>
      </c>
      <c r="G62" s="31">
        <f t="shared" si="7"/>
      </c>
      <c r="H62" s="31">
        <f t="shared" si="7"/>
      </c>
      <c r="I62" s="31">
        <f t="shared" si="7"/>
      </c>
      <c r="J62" s="31">
        <f t="shared" si="7"/>
      </c>
      <c r="K62" s="31">
        <f t="shared" si="7"/>
      </c>
      <c r="L62" s="31">
        <f t="shared" si="7"/>
      </c>
      <c r="M62" s="31">
        <f t="shared" si="7"/>
      </c>
      <c r="N62" s="31">
        <f t="shared" si="7"/>
      </c>
      <c r="O62" s="31">
        <f t="shared" si="7"/>
      </c>
      <c r="P62" s="31">
        <f t="shared" si="7"/>
      </c>
      <c r="Q62" s="31">
        <f t="shared" si="7"/>
      </c>
      <c r="R62" s="31">
        <f t="shared" si="7"/>
      </c>
      <c r="S62" s="31">
        <f t="shared" si="7"/>
      </c>
      <c r="T62" s="31">
        <f t="shared" si="7"/>
      </c>
      <c r="U62" s="31">
        <f t="shared" si="7"/>
      </c>
      <c r="V62" s="31">
        <f t="shared" si="7"/>
      </c>
      <c r="W62" s="31">
        <f t="shared" si="7"/>
      </c>
      <c r="X62" s="31">
        <f t="shared" si="7"/>
      </c>
      <c r="Y62" s="31">
        <f t="shared" si="7"/>
      </c>
      <c r="Z62" s="31">
        <f t="shared" si="7"/>
      </c>
      <c r="AA62" s="31">
        <f t="shared" si="7"/>
      </c>
      <c r="AB62" s="31">
        <f t="shared" si="7"/>
      </c>
      <c r="AC62" s="31">
        <f t="shared" si="7"/>
      </c>
      <c r="AD62" s="31">
        <f t="shared" si="7"/>
      </c>
      <c r="AE62" s="31">
        <f t="shared" si="7"/>
      </c>
      <c r="AF62" s="31">
        <f t="shared" si="7"/>
      </c>
      <c r="AG62" s="32">
        <f t="shared" si="6"/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1"/>
    </row>
    <row r="66" spans="1:33" x14ac:dyDescent="0.25">
      <c r="A66" s="22" t="s">
        <v>53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4">
        <f t="shared" ref="AG66:AG73" si="8">SUM(B66:AF66)</f>
      </c>
    </row>
    <row r="67" spans="1:33" x14ac:dyDescent="0.25">
      <c r="A67" s="22" t="s">
        <v>54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4">
        <f t="shared" si="8"/>
      </c>
    </row>
    <row r="68" spans="1:33" x14ac:dyDescent="0.25">
      <c r="A68" s="22" t="s">
        <v>55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4">
        <f t="shared" si="8"/>
      </c>
    </row>
    <row r="69" spans="1:33" x14ac:dyDescent="0.25">
      <c r="A69" s="22" t="s">
        <v>56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4">
        <f t="shared" si="8"/>
      </c>
    </row>
    <row r="70" spans="1:33" x14ac:dyDescent="0.25">
      <c r="A70" s="22" t="s">
        <v>57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4">
        <f t="shared" si="8"/>
      </c>
    </row>
    <row r="71" spans="1:33" x14ac:dyDescent="0.25">
      <c r="A71" s="22" t="s">
        <v>58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4">
        <f t="shared" si="8"/>
      </c>
    </row>
    <row r="72" spans="1:33" x14ac:dyDescent="0.25">
      <c r="A72" s="22" t="s">
        <v>59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4">
        <f t="shared" si="8"/>
      </c>
    </row>
    <row r="73" spans="1:33" x14ac:dyDescent="0.25">
      <c r="A73" s="30" t="s">
        <v>37</v>
      </c>
      <c r="B73" s="31">
        <f>SUM(B66:B72)</f>
      </c>
      <c r="C73" s="31">
        <f t="shared" ref="C73:AF73" si="9">SUM(C66:C72)</f>
      </c>
      <c r="D73" s="31">
        <f t="shared" si="9"/>
      </c>
      <c r="E73" s="31">
        <f t="shared" si="9"/>
      </c>
      <c r="F73" s="31">
        <f t="shared" si="9"/>
      </c>
      <c r="G73" s="31">
        <f t="shared" si="9"/>
      </c>
      <c r="H73" s="31">
        <f t="shared" si="9"/>
      </c>
      <c r="I73" s="31">
        <f t="shared" si="9"/>
      </c>
      <c r="J73" s="31">
        <f t="shared" si="9"/>
      </c>
      <c r="K73" s="31">
        <f t="shared" si="9"/>
      </c>
      <c r="L73" s="31">
        <f t="shared" si="9"/>
      </c>
      <c r="M73" s="31">
        <f t="shared" si="9"/>
      </c>
      <c r="N73" s="31">
        <f t="shared" si="9"/>
      </c>
      <c r="O73" s="31">
        <f t="shared" si="9"/>
      </c>
      <c r="P73" s="31">
        <f t="shared" si="9"/>
      </c>
      <c r="Q73" s="31">
        <f t="shared" si="9"/>
      </c>
      <c r="R73" s="31">
        <f t="shared" si="9"/>
      </c>
      <c r="S73" s="31">
        <f t="shared" si="9"/>
      </c>
      <c r="T73" s="31">
        <f t="shared" si="9"/>
      </c>
      <c r="U73" s="31">
        <f t="shared" si="9"/>
      </c>
      <c r="V73" s="31">
        <f t="shared" si="9"/>
      </c>
      <c r="W73" s="31">
        <f t="shared" si="9"/>
      </c>
      <c r="X73" s="31">
        <f t="shared" si="9"/>
      </c>
      <c r="Y73" s="31">
        <f t="shared" si="9"/>
      </c>
      <c r="Z73" s="31">
        <f t="shared" si="9"/>
      </c>
      <c r="AA73" s="31">
        <f t="shared" si="9"/>
      </c>
      <c r="AB73" s="31">
        <f t="shared" si="9"/>
      </c>
      <c r="AC73" s="31">
        <f t="shared" si="9"/>
      </c>
      <c r="AD73" s="31">
        <f t="shared" si="9"/>
      </c>
      <c r="AE73" s="31">
        <f t="shared" si="9"/>
      </c>
      <c r="AF73" s="31">
        <f t="shared" si="9"/>
      </c>
      <c r="AG73" s="32">
        <f t="shared" si="8"/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4">
        <f t="shared" ref="AG77:AG80" si="10">SUM(B77:AF77)</f>
      </c>
    </row>
    <row r="78" spans="1:33" x14ac:dyDescent="0.25">
      <c r="A78" s="22" t="s">
        <v>63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4">
        <f t="shared" si="10"/>
      </c>
    </row>
    <row r="79" spans="1:33" x14ac:dyDescent="0.25">
      <c r="A79" s="22" t="s">
        <v>64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4">
        <f t="shared" si="10"/>
      </c>
    </row>
    <row r="80" spans="1:33" x14ac:dyDescent="0.25">
      <c r="A80" s="30" t="s">
        <v>37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2">
        <f t="shared" si="10"/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4">
        <f t="shared" ref="AG83:AG88" si="11">SUM(B83:AF83)</f>
      </c>
    </row>
    <row r="84" spans="1:33" x14ac:dyDescent="0.25">
      <c r="A84" s="22" t="s">
        <v>67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4">
        <f t="shared" si="11"/>
      </c>
    </row>
    <row r="85" spans="1:33" x14ac:dyDescent="0.25">
      <c r="A85" s="22" t="s">
        <v>68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4">
        <f t="shared" si="11"/>
      </c>
    </row>
    <row r="86" spans="1:33" x14ac:dyDescent="0.25">
      <c r="A86" s="22" t="s">
        <v>69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4">
        <f t="shared" si="11"/>
      </c>
    </row>
    <row r="87" spans="1:33" x14ac:dyDescent="0.25">
      <c r="A87" s="22" t="s">
        <v>70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4">
        <f t="shared" si="11"/>
      </c>
    </row>
    <row r="88" spans="1:33" x14ac:dyDescent="0.25">
      <c r="A88" s="30" t="s">
        <v>44</v>
      </c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2">
        <f t="shared" si="11"/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4">
        <f t="shared" ref="AG92:AG99" si="12">SUM(B92:AF92)</f>
      </c>
    </row>
    <row r="93" spans="1:33" x14ac:dyDescent="0.25">
      <c r="A93" s="22" t="s">
        <v>74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4">
        <f t="shared" si="12"/>
      </c>
    </row>
    <row r="94" spans="1:33" x14ac:dyDescent="0.25">
      <c r="A94" s="22" t="s">
        <v>75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4">
        <f t="shared" si="12"/>
      </c>
    </row>
    <row r="95" spans="1:33" x14ac:dyDescent="0.25">
      <c r="A95" s="22" t="s">
        <v>76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>
        <v>1</v>
      </c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4">
        <f t="shared" si="12"/>
      </c>
    </row>
    <row r="96" spans="1:33" x14ac:dyDescent="0.25">
      <c r="A96" s="22" t="s">
        <v>77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>
        <v>5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4">
        <f t="shared" si="12"/>
      </c>
    </row>
    <row r="97" spans="1:33" x14ac:dyDescent="0.25">
      <c r="A97" s="22" t="s">
        <v>78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4">
        <f t="shared" si="12"/>
      </c>
    </row>
    <row r="98" spans="1:33" x14ac:dyDescent="0.25">
      <c r="A98" s="22" t="s">
        <v>79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4">
        <f t="shared" si="12"/>
      </c>
    </row>
    <row r="99" spans="1:33" x14ac:dyDescent="0.25">
      <c r="A99" s="30" t="s">
        <v>37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2">
        <f t="shared" si="12"/>
      </c>
    </row>
    <row r="100" spans="1:33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28"/>
    </row>
    <row r="101" spans="1:33" x14ac:dyDescent="0.25">
      <c r="A101" s="29" t="s">
        <v>80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1"/>
    </row>
    <row r="102" spans="1:33" x14ac:dyDescent="0.25">
      <c r="A102" s="22" t="s">
        <v>81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4">
        <f t="shared" ref="AG102:AG108" si="13">SUM(B102:AF102)</f>
      </c>
    </row>
    <row r="103" spans="1:33" x14ac:dyDescent="0.25">
      <c r="A103" s="22" t="s">
        <v>82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4">
        <f t="shared" si="13"/>
      </c>
    </row>
    <row r="104" spans="1:33" x14ac:dyDescent="0.25">
      <c r="A104" s="22" t="s">
        <v>83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4">
        <f t="shared" si="13"/>
      </c>
    </row>
    <row r="105" spans="1:33" x14ac:dyDescent="0.25">
      <c r="A105" s="22" t="s">
        <v>84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4">
        <f t="shared" si="13"/>
      </c>
    </row>
    <row r="106" spans="1:33" x14ac:dyDescent="0.25">
      <c r="A106" s="22" t="s">
        <v>85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4">
        <f t="shared" si="13"/>
      </c>
    </row>
    <row r="107" spans="1:33" x14ac:dyDescent="0.25">
      <c r="A107" s="22" t="s">
        <v>86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4">
        <f t="shared" si="13"/>
      </c>
    </row>
    <row r="108" spans="1:33" x14ac:dyDescent="0.25">
      <c r="A108" s="30" t="s">
        <v>37</v>
      </c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2">
        <f t="shared" si="13"/>
      </c>
    </row>
    <row r="109" spans="1:33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28"/>
    </row>
    <row r="110" spans="1:33" x14ac:dyDescent="0.25">
      <c r="A110" s="29" t="s">
        <v>87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1"/>
    </row>
    <row r="111" spans="1:33" x14ac:dyDescent="0.25">
      <c r="A111" s="22" t="s">
        <v>88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4">
        <f t="shared" ref="AG111:AG116" si="14">SUM(B111:AF111)</f>
      </c>
    </row>
    <row r="112" spans="1:33" x14ac:dyDescent="0.25">
      <c r="A112" s="22" t="s">
        <v>89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4">
        <f t="shared" si="14"/>
      </c>
    </row>
    <row r="113" spans="1:33" x14ac:dyDescent="0.25">
      <c r="A113" s="22" t="s">
        <v>90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4">
        <f t="shared" si="14"/>
      </c>
    </row>
    <row r="114" spans="1:33" x14ac:dyDescent="0.25">
      <c r="A114" s="22" t="s">
        <v>91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4">
        <f t="shared" si="14"/>
      </c>
    </row>
    <row r="115" spans="1:33" x14ac:dyDescent="0.25">
      <c r="A115" s="22" t="s">
        <v>92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4">
        <f t="shared" si="14"/>
      </c>
    </row>
    <row r="116" spans="1:33" x14ac:dyDescent="0.25">
      <c r="A116" s="30" t="s">
        <v>37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2">
        <f t="shared" si="14"/>
      </c>
    </row>
    <row r="117" spans="1:33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28"/>
    </row>
    <row r="118" spans="1:33" x14ac:dyDescent="0.25">
      <c r="A118" s="29" t="s">
        <v>93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1"/>
    </row>
    <row r="119" spans="1:33" x14ac:dyDescent="0.25">
      <c r="A119" s="22" t="s">
        <v>94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4">
        <f t="shared" ref="AG119:AG122" si="15">SUM(B119:AF119)</f>
      </c>
    </row>
    <row r="120" spans="1:33" x14ac:dyDescent="0.25">
      <c r="A120" s="22" t="s">
        <v>95</v>
      </c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4">
        <f t="shared" si="15"/>
      </c>
    </row>
    <row r="121" spans="1:33" x14ac:dyDescent="0.25">
      <c r="A121" s="22" t="s">
        <v>96</v>
      </c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4">
        <f t="shared" si="15"/>
      </c>
    </row>
    <row r="122" spans="1:33" x14ac:dyDescent="0.25">
      <c r="A122" s="30" t="s">
        <v>37</v>
      </c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2">
        <f t="shared" si="15"/>
      </c>
    </row>
    <row r="123" spans="1:33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28"/>
    </row>
    <row r="124" ht="13.8" customHeight="1" spans="1:33" x14ac:dyDescent="0.25">
      <c r="A124" s="14" t="s">
        <v>18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6" t="s">
        <v>19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4">
        <f t="shared" ref="AG126:AG131" si="16">SUM(B126:AF126)</f>
      </c>
    </row>
    <row r="127" spans="1:33" x14ac:dyDescent="0.25">
      <c r="A127" s="22" t="s">
        <v>99</v>
      </c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4">
        <f t="shared" si="16"/>
      </c>
    </row>
    <row r="128" spans="1:33" x14ac:dyDescent="0.25">
      <c r="A128" s="22" t="s">
        <v>100</v>
      </c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4">
        <f t="shared" si="16"/>
      </c>
    </row>
    <row r="129" spans="1:33" x14ac:dyDescent="0.25">
      <c r="A129" s="22" t="s">
        <v>101</v>
      </c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4">
        <f t="shared" si="16"/>
      </c>
    </row>
    <row r="130" spans="1:33" x14ac:dyDescent="0.25">
      <c r="A130" s="22" t="s">
        <v>102</v>
      </c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4">
        <f t="shared" si="16"/>
      </c>
    </row>
    <row r="131" spans="1:33" x14ac:dyDescent="0.25">
      <c r="A131" s="30" t="s">
        <v>37</v>
      </c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2">
        <f t="shared" si="16"/>
      </c>
    </row>
    <row r="132" spans="1:33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28"/>
    </row>
    <row r="133" spans="1:33" x14ac:dyDescent="0.25">
      <c r="A133" s="20" t="s">
        <v>103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</row>
    <row r="134" spans="1:33" x14ac:dyDescent="0.25">
      <c r="A134" s="22" t="s">
        <v>104</v>
      </c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4">
        <f t="shared" ref="AG134:AG136" si="17">SUM(B134:AF134)</f>
      </c>
    </row>
    <row r="135" spans="1:33" x14ac:dyDescent="0.25">
      <c r="A135" s="22" t="s">
        <v>105</v>
      </c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4">
        <f t="shared" si="17"/>
      </c>
    </row>
    <row r="136" spans="1:33" x14ac:dyDescent="0.25">
      <c r="A136" s="30" t="s">
        <v>37</v>
      </c>
      <c r="B136" s="31">
        <f>SUM(B134:B135)</f>
      </c>
      <c r="C136" s="31">
        <f t="shared" ref="C136:AF136" si="18">SUM(C134:C135)</f>
      </c>
      <c r="D136" s="31">
        <f t="shared" si="18"/>
      </c>
      <c r="E136" s="31">
        <f t="shared" si="18"/>
      </c>
      <c r="F136" s="31">
        <f t="shared" si="18"/>
      </c>
      <c r="G136" s="31">
        <f t="shared" si="18"/>
      </c>
      <c r="H136" s="31">
        <f t="shared" si="18"/>
      </c>
      <c r="I136" s="31">
        <f t="shared" si="18"/>
      </c>
      <c r="J136" s="31">
        <f t="shared" si="18"/>
      </c>
      <c r="K136" s="31">
        <f t="shared" si="18"/>
      </c>
      <c r="L136" s="31">
        <f t="shared" si="18"/>
      </c>
      <c r="M136" s="31">
        <f t="shared" si="18"/>
      </c>
      <c r="N136" s="31">
        <f t="shared" si="18"/>
      </c>
      <c r="O136" s="31">
        <f t="shared" si="18"/>
      </c>
      <c r="P136" s="31">
        <f t="shared" si="18"/>
      </c>
      <c r="Q136" s="31">
        <f t="shared" si="18"/>
      </c>
      <c r="R136" s="31">
        <f t="shared" si="18"/>
      </c>
      <c r="S136" s="31">
        <f t="shared" si="18"/>
      </c>
      <c r="T136" s="31">
        <f t="shared" si="18"/>
      </c>
      <c r="U136" s="31">
        <f t="shared" si="18"/>
      </c>
      <c r="V136" s="31">
        <f t="shared" si="18"/>
      </c>
      <c r="W136" s="31">
        <f t="shared" si="18"/>
      </c>
      <c r="X136" s="31">
        <f t="shared" si="18"/>
      </c>
      <c r="Y136" s="31">
        <f t="shared" si="18"/>
      </c>
      <c r="Z136" s="31">
        <f t="shared" si="18"/>
      </c>
      <c r="AA136" s="31">
        <f t="shared" si="18"/>
      </c>
      <c r="AB136" s="31">
        <f t="shared" si="18"/>
      </c>
      <c r="AC136" s="31">
        <f t="shared" si="18"/>
      </c>
      <c r="AD136" s="31">
        <f t="shared" si="18"/>
      </c>
      <c r="AE136" s="31">
        <f t="shared" si="18"/>
      </c>
      <c r="AF136" s="31">
        <f t="shared" si="18"/>
      </c>
      <c r="AG136" s="32">
        <f t="shared" si="17"/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4">
        <f t="shared" ref="AG139" si="19">SUM(B139:AF139)</f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f t="shared" ref="B141:AF141" si="20">B139+B136+B131+B122+B116+B108+B99+B88+B80+B73+B62+B53+B45</f>
      </c>
      <c r="C141" s="26">
        <f t="shared" si="20"/>
      </c>
      <c r="D141" s="26">
        <f t="shared" si="20"/>
      </c>
      <c r="E141" s="26">
        <f t="shared" si="20"/>
      </c>
      <c r="F141" s="26">
        <f t="shared" si="20"/>
      </c>
      <c r="G141" s="26">
        <f t="shared" si="20"/>
      </c>
      <c r="H141" s="26">
        <f t="shared" si="20"/>
      </c>
      <c r="I141" s="26">
        <f t="shared" si="20"/>
      </c>
      <c r="J141" s="26">
        <f t="shared" si="20"/>
      </c>
      <c r="K141" s="26">
        <f t="shared" si="20"/>
      </c>
      <c r="L141" s="26">
        <f t="shared" si="20"/>
      </c>
      <c r="M141" s="26">
        <f t="shared" si="20"/>
      </c>
      <c r="N141" s="26">
        <f t="shared" si="20"/>
      </c>
      <c r="O141" s="26">
        <f t="shared" si="20"/>
      </c>
      <c r="P141" s="26">
        <f t="shared" si="20"/>
      </c>
      <c r="Q141" s="26">
        <f t="shared" si="20"/>
      </c>
      <c r="R141" s="26">
        <f t="shared" si="20"/>
      </c>
      <c r="S141" s="26">
        <f t="shared" si="20"/>
      </c>
      <c r="T141" s="26">
        <f t="shared" si="20"/>
      </c>
      <c r="U141" s="26">
        <f t="shared" si="20"/>
      </c>
      <c r="V141" s="26">
        <f t="shared" si="20"/>
      </c>
      <c r="W141" s="26">
        <f t="shared" si="20"/>
      </c>
      <c r="X141" s="26">
        <f t="shared" si="20"/>
      </c>
      <c r="Y141" s="26">
        <f t="shared" si="20"/>
      </c>
      <c r="Z141" s="26">
        <f t="shared" si="20"/>
      </c>
      <c r="AA141" s="26">
        <f t="shared" si="20"/>
      </c>
      <c r="AB141" s="26">
        <f t="shared" si="20"/>
      </c>
      <c r="AC141" s="26">
        <f t="shared" si="20"/>
      </c>
      <c r="AD141" s="26">
        <f t="shared" si="20"/>
      </c>
      <c r="AE141" s="26">
        <f t="shared" si="20"/>
      </c>
      <c r="AF141" s="26">
        <f t="shared" si="20"/>
      </c>
      <c r="AG141" s="27">
        <f>SUM(B141:AF141)</f>
      </c>
    </row>
    <row r="142" spans="1:33" x14ac:dyDescent="0.25">
      <c r="A142" s="39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28"/>
    </row>
    <row r="143" spans="1:33" x14ac:dyDescent="0.25">
      <c r="A143" s="36" t="s">
        <v>109</v>
      </c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4">
        <f>SUM(B143:AF143)</f>
      </c>
    </row>
    <row r="144" spans="1:33" x14ac:dyDescent="0.25">
      <c r="A144" s="3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7"/>
    </row>
    <row r="145" spans="1:33" x14ac:dyDescent="0.25">
      <c r="A145" s="40" t="s">
        <v>110</v>
      </c>
      <c r="B145" s="41">
        <f>B143+B141+B30+B149</f>
      </c>
      <c r="C145" s="41">
        <f t="shared" ref="C145:AF145" si="21">C143+C141+C30+C149</f>
      </c>
      <c r="D145" s="41">
        <f t="shared" si="21"/>
      </c>
      <c r="E145" s="41">
        <f t="shared" si="21"/>
      </c>
      <c r="F145" s="41">
        <f t="shared" si="21"/>
      </c>
      <c r="G145" s="41">
        <f t="shared" si="21"/>
      </c>
      <c r="H145" s="41">
        <f t="shared" si="21"/>
      </c>
      <c r="I145" s="41">
        <f t="shared" si="21"/>
      </c>
      <c r="J145" s="41">
        <f t="shared" si="21"/>
      </c>
      <c r="K145" s="41">
        <f t="shared" si="21"/>
      </c>
      <c r="L145" s="41">
        <f t="shared" si="21"/>
      </c>
      <c r="M145" s="41">
        <f t="shared" si="21"/>
      </c>
      <c r="N145" s="41">
        <f t="shared" si="21"/>
      </c>
      <c r="O145" s="41">
        <f t="shared" si="21"/>
      </c>
      <c r="P145" s="41">
        <f t="shared" si="21"/>
      </c>
      <c r="Q145" s="41">
        <f t="shared" si="21"/>
      </c>
      <c r="R145" s="41">
        <f t="shared" si="21"/>
      </c>
      <c r="S145" s="41">
        <f t="shared" si="21"/>
      </c>
      <c r="T145" s="41">
        <f t="shared" si="21"/>
      </c>
      <c r="U145" s="41">
        <f t="shared" si="21"/>
      </c>
      <c r="V145" s="41">
        <f t="shared" si="21"/>
      </c>
      <c r="W145" s="41">
        <f t="shared" si="21"/>
      </c>
      <c r="X145" s="41">
        <f t="shared" si="21"/>
      </c>
      <c r="Y145" s="41">
        <f t="shared" si="21"/>
      </c>
      <c r="Z145" s="41">
        <f t="shared" si="21"/>
      </c>
      <c r="AA145" s="41">
        <f t="shared" si="21"/>
      </c>
      <c r="AB145" s="41">
        <f t="shared" si="21"/>
      </c>
      <c r="AC145" s="41">
        <f t="shared" si="21"/>
      </c>
      <c r="AD145" s="41">
        <f t="shared" si="21"/>
      </c>
      <c r="AE145" s="41">
        <f t="shared" si="21"/>
      </c>
      <c r="AF145" s="41">
        <f t="shared" si="21"/>
      </c>
      <c r="AG145" s="42">
        <f t="shared" ref="AG145:AG149" si="22">SUM(B145:AF145)</f>
      </c>
    </row>
    <row r="146" spans="1:33" x14ac:dyDescent="0.25">
      <c r="A146" s="43" t="s">
        <v>111</v>
      </c>
      <c r="B146" s="26">
        <f t="shared" ref="B146:AF146" si="23">B30</f>
      </c>
      <c r="C146" s="26">
        <f t="shared" si="23"/>
      </c>
      <c r="D146" s="26">
        <f t="shared" si="23"/>
      </c>
      <c r="E146" s="26">
        <f t="shared" si="23"/>
      </c>
      <c r="F146" s="26">
        <f t="shared" si="23"/>
      </c>
      <c r="G146" s="26">
        <f t="shared" si="23"/>
      </c>
      <c r="H146" s="26">
        <f t="shared" si="23"/>
      </c>
      <c r="I146" s="26">
        <f t="shared" si="23"/>
      </c>
      <c r="J146" s="26">
        <f t="shared" si="23"/>
      </c>
      <c r="K146" s="26">
        <f t="shared" si="23"/>
      </c>
      <c r="L146" s="26">
        <f t="shared" si="23"/>
      </c>
      <c r="M146" s="26">
        <f t="shared" si="23"/>
      </c>
      <c r="N146" s="26">
        <f t="shared" si="23"/>
      </c>
      <c r="O146" s="26">
        <f t="shared" si="23"/>
      </c>
      <c r="P146" s="26">
        <f t="shared" si="23"/>
      </c>
      <c r="Q146" s="26">
        <f t="shared" si="23"/>
      </c>
      <c r="R146" s="26">
        <f t="shared" si="23"/>
      </c>
      <c r="S146" s="26">
        <f t="shared" si="23"/>
      </c>
      <c r="T146" s="26">
        <f t="shared" si="23"/>
      </c>
      <c r="U146" s="26">
        <f t="shared" si="23"/>
      </c>
      <c r="V146" s="26">
        <f t="shared" si="23"/>
      </c>
      <c r="W146" s="26">
        <f t="shared" si="23"/>
      </c>
      <c r="X146" s="26">
        <f t="shared" si="23"/>
      </c>
      <c r="Y146" s="26">
        <f t="shared" si="23"/>
      </c>
      <c r="Z146" s="26">
        <f t="shared" si="23"/>
      </c>
      <c r="AA146" s="26">
        <f t="shared" si="23"/>
      </c>
      <c r="AB146" s="26">
        <f t="shared" si="23"/>
      </c>
      <c r="AC146" s="26">
        <f t="shared" si="23"/>
      </c>
      <c r="AD146" s="26">
        <f t="shared" si="23"/>
      </c>
      <c r="AE146" s="26">
        <f t="shared" si="23"/>
      </c>
      <c r="AF146" s="26">
        <f t="shared" si="23"/>
      </c>
      <c r="AG146" s="27">
        <f t="shared" si="22"/>
      </c>
    </row>
    <row r="147" spans="1:33" x14ac:dyDescent="0.25">
      <c r="A147" s="43" t="s">
        <v>112</v>
      </c>
      <c r="B147" s="26">
        <f>B141</f>
      </c>
      <c r="C147" s="26">
        <f t="shared" ref="C147:AF147" si="24">C141</f>
      </c>
      <c r="D147" s="26">
        <f t="shared" si="24"/>
      </c>
      <c r="E147" s="26">
        <f t="shared" si="24"/>
      </c>
      <c r="F147" s="26">
        <f t="shared" si="24"/>
      </c>
      <c r="G147" s="26">
        <f t="shared" si="24"/>
      </c>
      <c r="H147" s="26">
        <f t="shared" si="24"/>
      </c>
      <c r="I147" s="26">
        <f t="shared" si="24"/>
      </c>
      <c r="J147" s="26">
        <f t="shared" si="24"/>
      </c>
      <c r="K147" s="26">
        <f t="shared" si="24"/>
      </c>
      <c r="L147" s="26">
        <f t="shared" si="24"/>
      </c>
      <c r="M147" s="26">
        <f t="shared" si="24"/>
      </c>
      <c r="N147" s="26">
        <f t="shared" si="24"/>
      </c>
      <c r="O147" s="26">
        <f t="shared" si="24"/>
      </c>
      <c r="P147" s="26">
        <f t="shared" si="24"/>
      </c>
      <c r="Q147" s="26">
        <f t="shared" si="24"/>
      </c>
      <c r="R147" s="26">
        <f t="shared" si="24"/>
      </c>
      <c r="S147" s="26">
        <f t="shared" si="24"/>
      </c>
      <c r="T147" s="26">
        <f t="shared" si="24"/>
      </c>
      <c r="U147" s="26">
        <f t="shared" si="24"/>
      </c>
      <c r="V147" s="26">
        <f t="shared" si="24"/>
      </c>
      <c r="W147" s="26">
        <f t="shared" si="24"/>
      </c>
      <c r="X147" s="26">
        <f t="shared" si="24"/>
      </c>
      <c r="Y147" s="26">
        <f t="shared" si="24"/>
      </c>
      <c r="Z147" s="26">
        <f t="shared" si="24"/>
      </c>
      <c r="AA147" s="26">
        <f t="shared" si="24"/>
      </c>
      <c r="AB147" s="26">
        <f t="shared" si="24"/>
      </c>
      <c r="AC147" s="26">
        <f t="shared" si="24"/>
      </c>
      <c r="AD147" s="26">
        <f t="shared" si="24"/>
      </c>
      <c r="AE147" s="26">
        <f t="shared" si="24"/>
      </c>
      <c r="AF147" s="26">
        <f t="shared" si="24"/>
      </c>
      <c r="AG147" s="27">
        <f t="shared" si="22"/>
      </c>
    </row>
    <row r="148" spans="1:33" x14ac:dyDescent="0.25">
      <c r="A148" s="43" t="s">
        <v>113</v>
      </c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7">
        <f t="shared" si="22"/>
      </c>
    </row>
    <row r="149" spans="1:33" x14ac:dyDescent="0.25">
      <c r="A149" s="43" t="s">
        <v>114</v>
      </c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27">
        <f t="shared" si="22"/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3"/>
    </row>
    <row r="152" ht="15.6" customHeight="1" spans="1:33" x14ac:dyDescent="0.25">
      <c r="A152" s="4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27">
        <f t="shared" ref="AG154:AG156" si="25">SUM(B154:AF154)</f>
      </c>
    </row>
    <row r="155" spans="1:33" x14ac:dyDescent="0.25">
      <c r="A155" s="49" t="s">
        <v>118</v>
      </c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27">
        <f t="shared" si="25"/>
      </c>
    </row>
    <row r="156" spans="1:33" x14ac:dyDescent="0.25">
      <c r="A156" s="49" t="s">
        <v>119</v>
      </c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27">
        <f t="shared" si="25"/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27">
        <f t="shared" ref="AG158:AG159" si="26">SUM(B158:AF158)</f>
      </c>
    </row>
    <row r="159" spans="1:33" x14ac:dyDescent="0.25">
      <c r="A159" s="49" t="s">
        <v>122</v>
      </c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27">
        <f t="shared" si="26"/>
      </c>
    </row>
    <row r="160" ht="15.6" customHeight="1" spans="1:33" x14ac:dyDescent="0.25">
      <c r="A160" s="48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>
        <v>3</v>
      </c>
      <c r="O160" s="3">
        <v>3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1" t="s">
        <v>124</v>
      </c>
      <c r="B161" s="3">
        <v>10</v>
      </c>
      <c r="C161" s="3">
        <v>10</v>
      </c>
      <c r="D161" s="3">
        <v>10</v>
      </c>
      <c r="E161" s="3">
        <v>10</v>
      </c>
      <c r="F161" s="3">
        <v>10</v>
      </c>
      <c r="G161" s="3">
        <v>10</v>
      </c>
      <c r="H161" s="3">
        <v>10</v>
      </c>
      <c r="I161" s="3">
        <v>10</v>
      </c>
      <c r="J161" s="3">
        <v>10</v>
      </c>
      <c r="K161" s="3">
        <v>10</v>
      </c>
      <c r="L161" s="3">
        <v>10</v>
      </c>
      <c r="M161" s="3">
        <v>10</v>
      </c>
      <c r="N161" s="3">
        <v>10</v>
      </c>
      <c r="O161" s="3">
        <v>10</v>
      </c>
      <c r="P161" s="3">
        <v>10</v>
      </c>
      <c r="Q161" s="3">
        <v>10</v>
      </c>
      <c r="R161" s="3">
        <v>10</v>
      </c>
      <c r="S161" s="3">
        <v>10</v>
      </c>
      <c r="T161" s="3">
        <v>10</v>
      </c>
      <c r="U161" s="3">
        <v>10</v>
      </c>
      <c r="V161" s="3">
        <v>10</v>
      </c>
      <c r="W161" s="3">
        <v>10</v>
      </c>
      <c r="X161" s="3">
        <v>10</v>
      </c>
      <c r="Y161" s="3">
        <v>10</v>
      </c>
      <c r="Z161" s="3">
        <v>10</v>
      </c>
      <c r="AA161" s="3">
        <v>10</v>
      </c>
      <c r="AB161" s="3">
        <v>10</v>
      </c>
      <c r="AC161" s="3">
        <v>10</v>
      </c>
      <c r="AD161" s="3">
        <v>10</v>
      </c>
      <c r="AE161" s="3">
        <v>10</v>
      </c>
      <c r="AF161" s="3"/>
      <c r="AG161" s="3"/>
    </row>
    <row r="162" spans="1:33" x14ac:dyDescent="0.25">
      <c r="A162" s="49" t="s">
        <v>125</v>
      </c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>
        <v>7</v>
      </c>
      <c r="O162" s="44">
        <v>7</v>
      </c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27">
        <f t="shared" ref="AG162:AG166" si="27">SUM(B162:AF162)</f>
      </c>
    </row>
    <row r="163" spans="1:33" x14ac:dyDescent="0.25">
      <c r="A163" s="49" t="s">
        <v>126</v>
      </c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27">
        <f t="shared" si="27"/>
      </c>
    </row>
    <row r="164" spans="1:33" x14ac:dyDescent="0.25">
      <c r="A164" s="49" t="s">
        <v>127</v>
      </c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27">
        <f t="shared" si="27"/>
      </c>
    </row>
    <row r="165" spans="1:33" x14ac:dyDescent="0.25">
      <c r="A165" s="49" t="s">
        <v>128</v>
      </c>
      <c r="B165" s="44" t="s">
        <v>129</v>
      </c>
      <c r="C165" s="44" t="s">
        <v>129</v>
      </c>
      <c r="D165" s="44" t="s">
        <v>129</v>
      </c>
      <c r="E165" s="44" t="s">
        <v>129</v>
      </c>
      <c r="F165" s="44" t="s">
        <v>129</v>
      </c>
      <c r="G165" s="44" t="s">
        <v>129</v>
      </c>
      <c r="H165" s="44" t="s">
        <v>129</v>
      </c>
      <c r="I165" s="44" t="s">
        <v>129</v>
      </c>
      <c r="J165" s="44" t="s">
        <v>129</v>
      </c>
      <c r="K165" s="44" t="s">
        <v>129</v>
      </c>
      <c r="L165" s="44" t="s">
        <v>129</v>
      </c>
      <c r="M165" s="44" t="s">
        <v>129</v>
      </c>
      <c r="N165" s="44" t="s">
        <v>130</v>
      </c>
      <c r="O165" s="44" t="s">
        <v>130</v>
      </c>
      <c r="P165" s="44" t="s">
        <v>129</v>
      </c>
      <c r="Q165" s="44" t="s">
        <v>129</v>
      </c>
      <c r="R165" s="44" t="s">
        <v>129</v>
      </c>
      <c r="S165" s="44" t="s">
        <v>129</v>
      </c>
      <c r="T165" s="44" t="s">
        <v>129</v>
      </c>
      <c r="U165" s="44" t="s">
        <v>129</v>
      </c>
      <c r="V165" s="44" t="s">
        <v>129</v>
      </c>
      <c r="W165" s="44" t="s">
        <v>129</v>
      </c>
      <c r="X165" s="44" t="s">
        <v>129</v>
      </c>
      <c r="Y165" s="44" t="s">
        <v>129</v>
      </c>
      <c r="Z165" s="44" t="s">
        <v>129</v>
      </c>
      <c r="AA165" s="44" t="s">
        <v>129</v>
      </c>
      <c r="AB165" s="44" t="s">
        <v>129</v>
      </c>
      <c r="AC165" s="44" t="s">
        <v>129</v>
      </c>
      <c r="AD165" s="44" t="s">
        <v>129</v>
      </c>
      <c r="AE165" s="44" t="s">
        <v>129</v>
      </c>
      <c r="AF165" s="44"/>
      <c r="AG165" s="27">
        <f t="shared" si="27"/>
      </c>
    </row>
    <row r="166" spans="1:33" x14ac:dyDescent="0.25">
      <c r="A166" s="49" t="s">
        <v>131</v>
      </c>
      <c r="B166" s="44" t="s">
        <v>132</v>
      </c>
      <c r="C166" s="44" t="s">
        <v>132</v>
      </c>
      <c r="D166" s="44" t="s">
        <v>132</v>
      </c>
      <c r="E166" s="44" t="s">
        <v>132</v>
      </c>
      <c r="F166" s="44" t="s">
        <v>132</v>
      </c>
      <c r="G166" s="44" t="s">
        <v>132</v>
      </c>
      <c r="H166" s="44" t="s">
        <v>132</v>
      </c>
      <c r="I166" s="44" t="s">
        <v>132</v>
      </c>
      <c r="J166" s="44" t="s">
        <v>132</v>
      </c>
      <c r="K166" s="44" t="s">
        <v>132</v>
      </c>
      <c r="L166" s="44" t="s">
        <v>132</v>
      </c>
      <c r="M166" s="44" t="s">
        <v>129</v>
      </c>
      <c r="N166" s="44" t="s">
        <v>133</v>
      </c>
      <c r="O166" s="44" t="s">
        <v>132</v>
      </c>
      <c r="P166" s="44" t="s">
        <v>132</v>
      </c>
      <c r="Q166" s="44" t="s">
        <v>132</v>
      </c>
      <c r="R166" s="44" t="s">
        <v>132</v>
      </c>
      <c r="S166" s="44" t="s">
        <v>132</v>
      </c>
      <c r="T166" s="44" t="s">
        <v>132</v>
      </c>
      <c r="U166" s="44" t="s">
        <v>132</v>
      </c>
      <c r="V166" s="44" t="s">
        <v>132</v>
      </c>
      <c r="W166" s="44" t="s">
        <v>132</v>
      </c>
      <c r="X166" s="44" t="s">
        <v>132</v>
      </c>
      <c r="Y166" s="44" t="s">
        <v>132</v>
      </c>
      <c r="Z166" s="44" t="s">
        <v>132</v>
      </c>
      <c r="AA166" s="44" t="s">
        <v>132</v>
      </c>
      <c r="AB166" s="44" t="s">
        <v>132</v>
      </c>
      <c r="AC166" s="44" t="s">
        <v>132</v>
      </c>
      <c r="AD166" s="44" t="s">
        <v>132</v>
      </c>
      <c r="AE166" s="44" t="s">
        <v>132</v>
      </c>
      <c r="AF166" s="44"/>
      <c r="AG166" s="27">
        <f t="shared" si="27"/>
      </c>
    </row>
    <row r="167" spans="1:33" x14ac:dyDescent="0.25">
      <c r="A167" s="51" t="s">
        <v>134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49" t="s">
        <v>125</v>
      </c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27">
        <f t="shared" ref="AG168:AG172" si="28">SUM(B168:AF168)</f>
      </c>
    </row>
    <row r="169" spans="1:33" x14ac:dyDescent="0.25">
      <c r="A169" s="49" t="s">
        <v>126</v>
      </c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27">
        <f t="shared" si="28"/>
      </c>
    </row>
    <row r="170" spans="1:33" x14ac:dyDescent="0.25">
      <c r="A170" s="49" t="s">
        <v>127</v>
      </c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27">
        <f t="shared" si="28"/>
      </c>
    </row>
    <row r="171" spans="1:33" x14ac:dyDescent="0.25">
      <c r="A171" s="49" t="s">
        <v>128</v>
      </c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>
        <v>1</v>
      </c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27">
        <f t="shared" si="28"/>
      </c>
    </row>
    <row r="172" spans="1:33" x14ac:dyDescent="0.25">
      <c r="A172" s="49" t="s">
        <v>131</v>
      </c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>
        <v>6</v>
      </c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27">
        <f t="shared" si="28"/>
      </c>
    </row>
    <row r="173" spans="1:33" x14ac:dyDescent="0.25">
      <c r="A173" s="52" t="s">
        <v>135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2" t="s">
        <v>136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137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 t="s">
        <v>138</v>
      </c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 t="s">
        <v>139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0"/>
  <sheetViews>
    <sheetView workbookViewId="0" zoomScale="100" zoomScaleNormal="100" view="pageBreakPreview">
      <selection activeCell="B182" sqref="B182"/>
    </sheetView>
  </sheetViews>
  <sheetFormatPr defaultRowHeight="13.2" outlineLevelRow="0" outlineLevelCol="0" x14ac:dyDescent="0.25" customHeight="1"/>
  <cols>
    <col min="1" max="1" width="59.109375" customWidth="1"/>
    <col min="2" max="2" width="18.6640625" customWidth="1"/>
  </cols>
  <sheetData>
    <row r="1" spans="1:2" x14ac:dyDescent="0.25">
      <c r="A1" s="55" t="s">
        <v>140</v>
      </c>
      <c r="B1" s="56"/>
    </row>
    <row r="2" spans="1:2" x14ac:dyDescent="0.25">
      <c r="A2" s="55"/>
      <c r="B2" s="56"/>
    </row>
    <row r="3" spans="1:2" x14ac:dyDescent="0.25">
      <c r="A3" s="57" t="s">
        <v>141</v>
      </c>
      <c r="B3" s="57"/>
    </row>
    <row r="4" spans="1:2" x14ac:dyDescent="0.25">
      <c r="A4" s="58" t="s">
        <v>142</v>
      </c>
      <c r="B4" s="58"/>
    </row>
    <row r="5" spans="1:2" x14ac:dyDescent="0.25">
      <c r="A5" s="59" t="s">
        <v>143</v>
      </c>
      <c r="B5" s="59"/>
    </row>
    <row r="6" ht="15.6" customHeight="1" spans="1:2" x14ac:dyDescent="0.25">
      <c r="A6" s="60"/>
      <c r="B6" s="61"/>
    </row>
    <row r="7" ht="15.6" customHeight="1" spans="1:2" x14ac:dyDescent="0.25">
      <c r="A7" s="62" t="s">
        <v>4</v>
      </c>
      <c r="B7" s="62"/>
    </row>
    <row r="8" spans="1:2" x14ac:dyDescent="0.25">
      <c r="A8" s="63"/>
      <c r="B8" s="63"/>
    </row>
    <row r="9" spans="1:2" x14ac:dyDescent="0.25">
      <c r="A9" s="64" t="s">
        <v>5</v>
      </c>
      <c r="B9" s="56"/>
    </row>
    <row r="10" spans="1:2" x14ac:dyDescent="0.25">
      <c r="A10" s="55" t="s">
        <v>6</v>
      </c>
      <c r="B10" s="65"/>
    </row>
    <row r="11" spans="1:2" x14ac:dyDescent="0.25">
      <c r="A11" s="55" t="s">
        <v>7</v>
      </c>
      <c r="B11" s="66"/>
    </row>
    <row r="12" spans="1:2" x14ac:dyDescent="0.25">
      <c r="A12" s="55" t="s">
        <v>9</v>
      </c>
      <c r="B12" s="65"/>
    </row>
    <row r="13" spans="1:2" x14ac:dyDescent="0.25">
      <c r="A13" s="55" t="s">
        <v>10</v>
      </c>
      <c r="B13" s="65"/>
    </row>
    <row r="14" spans="1:2" x14ac:dyDescent="0.25">
      <c r="A14" s="55" t="s">
        <v>11</v>
      </c>
      <c r="B14" s="65"/>
    </row>
    <row r="15" spans="1:2" x14ac:dyDescent="0.25">
      <c r="A15" s="55" t="s">
        <v>12</v>
      </c>
      <c r="B15" s="65"/>
    </row>
    <row r="16" spans="1:2" x14ac:dyDescent="0.25">
      <c r="A16" s="55"/>
      <c r="B16" s="56"/>
    </row>
    <row r="17" spans="1:2" x14ac:dyDescent="0.25">
      <c r="A17" s="64" t="str">
        <f>'Name of Establishment'!A17</f>
        <v>DOT Accreditation Classification: _____________________________</v>
      </c>
      <c r="B17" s="56"/>
    </row>
    <row r="18" spans="1:2" x14ac:dyDescent="0.25">
      <c r="A18" s="56"/>
      <c r="B18" s="56"/>
    </row>
    <row r="19" spans="1:2" x14ac:dyDescent="0.25">
      <c r="A19" s="64" t="str">
        <f>'Name of Establishment'!A19</f>
        <v>AE ID Code (LGU Assigned): _________________________________________</v>
      </c>
      <c r="B19" s="56"/>
    </row>
    <row r="20" spans="1:2" x14ac:dyDescent="0.25">
      <c r="A20" s="64" t="str">
        <f>'Name of Establishment'!A20</f>
        <v>AE ID Code (LGU Assigned): ____________________________________________</v>
      </c>
      <c r="B20" s="56"/>
    </row>
    <row r="21" spans="1:2" x14ac:dyDescent="0.25">
      <c r="A21" s="64"/>
      <c r="B21" s="63"/>
    </row>
    <row r="22" spans="1:2" x14ac:dyDescent="0.25">
      <c r="A22" s="64" t="str">
        <f>'Name of Establishment'!A22</f>
        <v>City/Municipality: ___________________</v>
      </c>
      <c r="B22" s="56"/>
    </row>
    <row r="23" spans="1:2" x14ac:dyDescent="0.25">
      <c r="A23" s="64" t="str">
        <f>'Name of Establishment'!A23</f>
        <v>Province: _____________________</v>
      </c>
      <c r="B23" s="56"/>
    </row>
    <row r="24" spans="1:2" x14ac:dyDescent="0.25">
      <c r="A24" s="56"/>
      <c r="B24" s="56"/>
    </row>
    <row r="25" spans="1:2" x14ac:dyDescent="0.25">
      <c r="A25" s="67" t="s">
        <v>18</v>
      </c>
      <c r="B25" s="68" t="s">
        <v>19</v>
      </c>
    </row>
    <row r="26" spans="1:2" x14ac:dyDescent="0.25">
      <c r="A26" s="69"/>
      <c r="B26" s="70"/>
    </row>
    <row r="27" spans="1:2" x14ac:dyDescent="0.25">
      <c r="A27" s="71" t="s">
        <v>20</v>
      </c>
      <c r="B27" s="72"/>
    </row>
    <row r="28" spans="1:2" x14ac:dyDescent="0.25">
      <c r="A28" s="73" t="s">
        <v>21</v>
      </c>
      <c r="B28" s="74">
        <v>3</v>
      </c>
    </row>
    <row r="29" spans="1:2" x14ac:dyDescent="0.25">
      <c r="A29" s="73" t="s">
        <v>22</v>
      </c>
      <c r="B29" s="74">
        <v>0</v>
      </c>
    </row>
    <row r="30" spans="1:2" x14ac:dyDescent="0.25">
      <c r="A30" s="38" t="s">
        <v>23</v>
      </c>
      <c r="B30" s="74">
        <f>'Name of Establishment'!AG30</f>
      </c>
    </row>
    <row r="31" spans="1:2" x14ac:dyDescent="0.25">
      <c r="A31" s="37"/>
      <c r="B31" s="75"/>
    </row>
    <row r="32" spans="1:2" x14ac:dyDescent="0.25">
      <c r="A32" s="71" t="s">
        <v>24</v>
      </c>
      <c r="B32" s="72"/>
    </row>
    <row r="33" spans="1:2" x14ac:dyDescent="0.25">
      <c r="A33" s="37"/>
      <c r="B33" s="75"/>
    </row>
    <row r="34" spans="1:2" x14ac:dyDescent="0.25">
      <c r="A34" s="71" t="s">
        <v>26</v>
      </c>
      <c r="B34" s="72"/>
    </row>
    <row r="35" spans="1:2" x14ac:dyDescent="0.25">
      <c r="A35" s="36" t="s">
        <v>27</v>
      </c>
      <c r="B35" s="72"/>
    </row>
    <row r="36" spans="1:2" x14ac:dyDescent="0.25">
      <c r="A36" s="73" t="s">
        <v>28</v>
      </c>
      <c r="B36" s="74">
        <v>0</v>
      </c>
    </row>
    <row r="37" spans="1:2" x14ac:dyDescent="0.25">
      <c r="A37" s="73" t="s">
        <v>29</v>
      </c>
      <c r="B37" s="74">
        <v>0</v>
      </c>
    </row>
    <row r="38" spans="1:2" x14ac:dyDescent="0.25">
      <c r="A38" s="73" t="s">
        <v>30</v>
      </c>
      <c r="B38" s="74">
        <v>0</v>
      </c>
    </row>
    <row r="39" spans="1:2" x14ac:dyDescent="0.25">
      <c r="A39" s="73" t="s">
        <v>31</v>
      </c>
      <c r="B39" s="74">
        <v>0</v>
      </c>
    </row>
    <row r="40" spans="1:2" x14ac:dyDescent="0.25">
      <c r="A40" s="73" t="s">
        <v>32</v>
      </c>
      <c r="B40" s="74">
        <v>0</v>
      </c>
    </row>
    <row r="41" spans="1:2" x14ac:dyDescent="0.25">
      <c r="A41" s="73" t="s">
        <v>33</v>
      </c>
      <c r="B41" s="74">
        <v>0</v>
      </c>
    </row>
    <row r="42" spans="1:2" x14ac:dyDescent="0.25">
      <c r="A42" s="73" t="s">
        <v>34</v>
      </c>
      <c r="B42" s="74">
        <v>0</v>
      </c>
    </row>
    <row r="43" spans="1:2" x14ac:dyDescent="0.25">
      <c r="A43" s="73" t="s">
        <v>35</v>
      </c>
      <c r="B43" s="74">
        <v>0</v>
      </c>
    </row>
    <row r="44" spans="1:2" x14ac:dyDescent="0.25">
      <c r="A44" s="73" t="s">
        <v>36</v>
      </c>
      <c r="B44" s="74">
        <v>0</v>
      </c>
    </row>
    <row r="45" spans="1:2" x14ac:dyDescent="0.25">
      <c r="A45" s="76" t="s">
        <v>37</v>
      </c>
      <c r="B45" s="74">
        <f>'Name of Establishment'!AG45</f>
      </c>
    </row>
    <row r="46" spans="1:2" x14ac:dyDescent="0.25">
      <c r="A46" s="77"/>
      <c r="B46" s="75"/>
    </row>
    <row r="47" spans="1:2" x14ac:dyDescent="0.25">
      <c r="A47" s="36" t="s">
        <v>38</v>
      </c>
      <c r="B47" s="72"/>
    </row>
    <row r="48" spans="1:2" x14ac:dyDescent="0.25">
      <c r="A48" s="73" t="s">
        <v>39</v>
      </c>
      <c r="B48" s="74">
        <v>0</v>
      </c>
    </row>
    <row r="49" spans="1:2" x14ac:dyDescent="0.25">
      <c r="A49" s="73" t="s">
        <v>40</v>
      </c>
      <c r="B49" s="74">
        <v>0</v>
      </c>
    </row>
    <row r="50" spans="1:2" x14ac:dyDescent="0.25">
      <c r="A50" s="73" t="s">
        <v>41</v>
      </c>
      <c r="B50" s="74">
        <v>0</v>
      </c>
    </row>
    <row r="51" spans="1:2" x14ac:dyDescent="0.25">
      <c r="A51" s="73" t="s">
        <v>42</v>
      </c>
      <c r="B51" s="74">
        <v>0</v>
      </c>
    </row>
    <row r="52" spans="1:2" x14ac:dyDescent="0.25">
      <c r="A52" s="73" t="s">
        <v>43</v>
      </c>
      <c r="B52" s="74">
        <v>0</v>
      </c>
    </row>
    <row r="53" spans="1:2" x14ac:dyDescent="0.25">
      <c r="A53" s="76" t="s">
        <v>44</v>
      </c>
      <c r="B53" s="74">
        <f>'Name of Establishment'!AG53</f>
      </c>
    </row>
    <row r="54" spans="1:2" x14ac:dyDescent="0.25">
      <c r="A54" s="77"/>
      <c r="B54" s="75"/>
    </row>
    <row r="55" spans="1:2" x14ac:dyDescent="0.25">
      <c r="A55" s="36" t="s">
        <v>45</v>
      </c>
      <c r="B55" s="72"/>
    </row>
    <row r="56" spans="1:2" x14ac:dyDescent="0.25">
      <c r="A56" s="73" t="s">
        <v>46</v>
      </c>
      <c r="B56" s="74">
        <v>0</v>
      </c>
    </row>
    <row r="57" spans="1:2" x14ac:dyDescent="0.25">
      <c r="A57" s="73" t="s">
        <v>47</v>
      </c>
      <c r="B57" s="74">
        <v>0</v>
      </c>
    </row>
    <row r="58" spans="1:2" x14ac:dyDescent="0.25">
      <c r="A58" s="73" t="s">
        <v>48</v>
      </c>
      <c r="B58" s="74">
        <v>0</v>
      </c>
    </row>
    <row r="59" spans="1:2" x14ac:dyDescent="0.25">
      <c r="A59" s="73" t="s">
        <v>49</v>
      </c>
      <c r="B59" s="74">
        <v>0</v>
      </c>
    </row>
    <row r="60" spans="1:2" x14ac:dyDescent="0.25">
      <c r="A60" s="73" t="s">
        <v>50</v>
      </c>
      <c r="B60" s="74">
        <v>0</v>
      </c>
    </row>
    <row r="61" spans="1:2" x14ac:dyDescent="0.25">
      <c r="A61" s="73" t="s">
        <v>51</v>
      </c>
      <c r="B61" s="74">
        <v>0</v>
      </c>
    </row>
    <row r="62" spans="1:2" x14ac:dyDescent="0.25">
      <c r="A62" s="76" t="s">
        <v>37</v>
      </c>
      <c r="B62" s="74">
        <f>'Name of Establishment'!AG62</f>
      </c>
    </row>
    <row r="63" spans="1:2" x14ac:dyDescent="0.25">
      <c r="A63" s="77"/>
      <c r="B63" s="75"/>
    </row>
    <row r="64" spans="1:2" x14ac:dyDescent="0.25">
      <c r="A64" s="36" t="s">
        <v>52</v>
      </c>
      <c r="B64" s="72"/>
    </row>
    <row r="65" spans="1:2" x14ac:dyDescent="0.25">
      <c r="A65" s="73" t="s">
        <v>53</v>
      </c>
      <c r="B65" s="74">
        <v>0</v>
      </c>
    </row>
    <row r="66" spans="1:2" x14ac:dyDescent="0.25">
      <c r="A66" s="73" t="s">
        <v>54</v>
      </c>
      <c r="B66" s="74">
        <v>0</v>
      </c>
    </row>
    <row r="67" spans="1:2" x14ac:dyDescent="0.25">
      <c r="A67" s="73" t="s">
        <v>55</v>
      </c>
      <c r="B67" s="74">
        <v>0</v>
      </c>
    </row>
    <row r="68" spans="1:2" x14ac:dyDescent="0.25">
      <c r="A68" s="73" t="s">
        <v>56</v>
      </c>
      <c r="B68" s="74">
        <v>0</v>
      </c>
    </row>
    <row r="69" spans="1:2" x14ac:dyDescent="0.25">
      <c r="A69" s="73" t="s">
        <v>57</v>
      </c>
      <c r="B69" s="74">
        <v>0</v>
      </c>
    </row>
    <row r="70" spans="1:2" x14ac:dyDescent="0.25">
      <c r="A70" s="73" t="s">
        <v>58</v>
      </c>
      <c r="B70" s="74">
        <v>0</v>
      </c>
    </row>
    <row r="71" spans="1:2" x14ac:dyDescent="0.25">
      <c r="A71" s="73" t="s">
        <v>59</v>
      </c>
      <c r="B71" s="74">
        <v>0</v>
      </c>
    </row>
    <row r="72" spans="1:2" x14ac:dyDescent="0.25">
      <c r="A72" s="76" t="s">
        <v>37</v>
      </c>
      <c r="B72" s="74">
        <f>'Name of Establishment'!AG72</f>
      </c>
    </row>
    <row r="73" spans="1:2" x14ac:dyDescent="0.25">
      <c r="A73" s="78"/>
      <c r="B73" s="75"/>
    </row>
    <row r="74" spans="1:2" x14ac:dyDescent="0.25">
      <c r="A74" s="67" t="s">
        <v>18</v>
      </c>
      <c r="B74" s="68" t="s">
        <v>19</v>
      </c>
    </row>
    <row r="75" spans="1:2" x14ac:dyDescent="0.25">
      <c r="A75" s="71" t="s">
        <v>60</v>
      </c>
      <c r="B75" s="72"/>
    </row>
    <row r="76" spans="1:2" x14ac:dyDescent="0.25">
      <c r="A76" s="36" t="s">
        <v>61</v>
      </c>
      <c r="B76" s="72"/>
    </row>
    <row r="77" spans="1:2" x14ac:dyDescent="0.25">
      <c r="A77" s="73" t="s">
        <v>62</v>
      </c>
      <c r="B77" s="74">
        <f>'Name of Establishment'!AG77</f>
      </c>
    </row>
    <row r="78" spans="1:2" x14ac:dyDescent="0.25">
      <c r="A78" s="73" t="s">
        <v>63</v>
      </c>
      <c r="B78" s="74">
        <v>0</v>
      </c>
    </row>
    <row r="79" spans="1:2" x14ac:dyDescent="0.25">
      <c r="A79" s="73" t="s">
        <v>64</v>
      </c>
      <c r="B79" s="74">
        <v>0</v>
      </c>
    </row>
    <row r="80" spans="1:2" x14ac:dyDescent="0.25">
      <c r="A80" s="76" t="s">
        <v>37</v>
      </c>
      <c r="B80" s="74">
        <v>0</v>
      </c>
    </row>
    <row r="81" spans="1:2" x14ac:dyDescent="0.25">
      <c r="A81" s="77"/>
      <c r="B81" s="75"/>
    </row>
    <row r="82" spans="1:2" x14ac:dyDescent="0.25">
      <c r="A82" s="36" t="s">
        <v>65</v>
      </c>
      <c r="B82" s="72"/>
    </row>
    <row r="83" spans="1:2" x14ac:dyDescent="0.25">
      <c r="A83" s="73" t="s">
        <v>66</v>
      </c>
      <c r="B83" s="74">
        <f>'Name of Establishment'!AG83</f>
      </c>
    </row>
    <row r="84" spans="1:2" x14ac:dyDescent="0.25">
      <c r="A84" s="73" t="s">
        <v>67</v>
      </c>
      <c r="B84" s="74">
        <v>0</v>
      </c>
    </row>
    <row r="85" spans="1:2" x14ac:dyDescent="0.25">
      <c r="A85" s="73" t="s">
        <v>68</v>
      </c>
      <c r="B85" s="74">
        <v>0</v>
      </c>
    </row>
    <row r="86" spans="1:2" x14ac:dyDescent="0.25">
      <c r="A86" s="73" t="s">
        <v>69</v>
      </c>
      <c r="B86" s="74">
        <v>0</v>
      </c>
    </row>
    <row r="87" spans="1:2" x14ac:dyDescent="0.25">
      <c r="A87" s="73" t="s">
        <v>70</v>
      </c>
      <c r="B87" s="74">
        <v>0</v>
      </c>
    </row>
    <row r="88" spans="1:2" x14ac:dyDescent="0.25">
      <c r="A88" s="76" t="s">
        <v>44</v>
      </c>
      <c r="B88" s="74">
        <v>0</v>
      </c>
    </row>
    <row r="89" spans="1:2" x14ac:dyDescent="0.25">
      <c r="A89" s="39"/>
      <c r="B89" s="75"/>
    </row>
    <row r="90" spans="1:2" x14ac:dyDescent="0.25">
      <c r="A90" s="71" t="s">
        <v>71</v>
      </c>
      <c r="B90" s="72"/>
    </row>
    <row r="91" spans="1:2" x14ac:dyDescent="0.25">
      <c r="A91" s="36" t="s">
        <v>72</v>
      </c>
      <c r="B91" s="72"/>
    </row>
    <row r="92" spans="1:2" x14ac:dyDescent="0.25">
      <c r="A92" s="73" t="s">
        <v>73</v>
      </c>
      <c r="B92" s="74">
        <f>'Name of Establishment'!AG92</f>
      </c>
    </row>
    <row r="93" spans="1:2" x14ac:dyDescent="0.25">
      <c r="A93" s="73" t="s">
        <v>74</v>
      </c>
      <c r="B93" s="74">
        <f>'Name of Establishment'!AG93</f>
      </c>
    </row>
    <row r="94" spans="1:2" x14ac:dyDescent="0.25">
      <c r="A94" s="73" t="s">
        <v>75</v>
      </c>
      <c r="B94" s="74">
        <f>'Name of Establishment'!AG94</f>
      </c>
    </row>
    <row r="95" spans="1:2" x14ac:dyDescent="0.25">
      <c r="A95" s="73" t="s">
        <v>76</v>
      </c>
      <c r="B95" s="74">
        <v>1</v>
      </c>
    </row>
    <row r="96" spans="1:2" x14ac:dyDescent="0.25">
      <c r="A96" s="73" t="s">
        <v>77</v>
      </c>
      <c r="B96" s="74">
        <v>5</v>
      </c>
    </row>
    <row r="97" spans="1:2" x14ac:dyDescent="0.25">
      <c r="A97" s="73" t="s">
        <v>78</v>
      </c>
      <c r="B97" s="74">
        <v>0</v>
      </c>
    </row>
    <row r="98" spans="1:2" x14ac:dyDescent="0.25">
      <c r="A98" s="73" t="s">
        <v>79</v>
      </c>
      <c r="B98" s="74">
        <v>0</v>
      </c>
    </row>
    <row r="99" spans="1:2" x14ac:dyDescent="0.25">
      <c r="A99" s="76" t="s">
        <v>37</v>
      </c>
      <c r="B99" s="74">
        <v>0</v>
      </c>
    </row>
    <row r="100" spans="1:2" x14ac:dyDescent="0.25">
      <c r="A100" s="77"/>
      <c r="B100" s="75">
        <v>0</v>
      </c>
    </row>
    <row r="101" spans="1:2" x14ac:dyDescent="0.25">
      <c r="A101" s="36" t="s">
        <v>80</v>
      </c>
      <c r="B101" s="72">
        <v>0</v>
      </c>
    </row>
    <row r="102" spans="1:2" x14ac:dyDescent="0.25">
      <c r="A102" s="73" t="s">
        <v>81</v>
      </c>
      <c r="B102" s="74">
        <f>'Name of Establishment'!AG102</f>
      </c>
    </row>
    <row r="103" spans="1:2" x14ac:dyDescent="0.25">
      <c r="A103" s="73" t="s">
        <v>82</v>
      </c>
      <c r="B103" s="74">
        <f>'Name of Establishment'!AG103</f>
      </c>
    </row>
    <row r="104" spans="1:2" x14ac:dyDescent="0.25">
      <c r="A104" s="73" t="s">
        <v>83</v>
      </c>
      <c r="B104" s="74">
        <f>'Name of Establishment'!AG104</f>
      </c>
    </row>
    <row r="105" spans="1:2" x14ac:dyDescent="0.25">
      <c r="A105" s="73" t="s">
        <v>84</v>
      </c>
      <c r="B105" s="74">
        <v>0</v>
      </c>
    </row>
    <row r="106" spans="1:2" x14ac:dyDescent="0.25">
      <c r="A106" s="73" t="s">
        <v>85</v>
      </c>
      <c r="B106" s="74">
        <v>0</v>
      </c>
    </row>
    <row r="107" spans="1:2" x14ac:dyDescent="0.25">
      <c r="A107" s="73" t="s">
        <v>86</v>
      </c>
      <c r="B107" s="74">
        <v>0</v>
      </c>
    </row>
    <row r="108" spans="1:2" x14ac:dyDescent="0.25">
      <c r="A108" s="76" t="s">
        <v>37</v>
      </c>
      <c r="B108" s="74">
        <v>0</v>
      </c>
    </row>
    <row r="109" spans="1:2" x14ac:dyDescent="0.25">
      <c r="A109" s="77"/>
      <c r="B109" s="75">
        <v>0</v>
      </c>
    </row>
    <row r="110" spans="1:2" x14ac:dyDescent="0.25">
      <c r="A110" s="36" t="s">
        <v>87</v>
      </c>
      <c r="B110" s="72">
        <v>0</v>
      </c>
    </row>
    <row r="111" spans="1:2" x14ac:dyDescent="0.25">
      <c r="A111" s="73" t="s">
        <v>88</v>
      </c>
      <c r="B111" s="74">
        <f>'Name of Establishment'!AG111</f>
      </c>
    </row>
    <row r="112" spans="1:2" x14ac:dyDescent="0.25">
      <c r="A112" s="73" t="s">
        <v>89</v>
      </c>
      <c r="B112" s="74">
        <f>'Name of Establishment'!AG112</f>
      </c>
    </row>
    <row r="113" spans="1:2" x14ac:dyDescent="0.25">
      <c r="A113" s="73" t="s">
        <v>90</v>
      </c>
      <c r="B113" s="74">
        <f>'Name of Establishment'!AG113</f>
      </c>
    </row>
    <row r="114" spans="1:2" x14ac:dyDescent="0.25">
      <c r="A114" s="73" t="s">
        <v>91</v>
      </c>
      <c r="B114" s="74">
        <v>0</v>
      </c>
    </row>
    <row r="115" spans="1:2" x14ac:dyDescent="0.25">
      <c r="A115" s="73" t="s">
        <v>92</v>
      </c>
      <c r="B115" s="74">
        <v>0</v>
      </c>
    </row>
    <row r="116" spans="1:2" x14ac:dyDescent="0.25">
      <c r="A116" s="76" t="s">
        <v>37</v>
      </c>
      <c r="B116" s="74">
        <v>0</v>
      </c>
    </row>
    <row r="117" spans="1:2" x14ac:dyDescent="0.25">
      <c r="A117" s="77"/>
      <c r="B117" s="75">
        <v>0</v>
      </c>
    </row>
    <row r="118" spans="1:2" x14ac:dyDescent="0.25">
      <c r="A118" s="36" t="s">
        <v>93</v>
      </c>
      <c r="B118" s="72">
        <v>0</v>
      </c>
    </row>
    <row r="119" spans="1:2" x14ac:dyDescent="0.25">
      <c r="A119" s="73" t="s">
        <v>94</v>
      </c>
      <c r="B119" s="74">
        <f>'Name of Establishment'!AG119</f>
      </c>
    </row>
    <row r="120" spans="1:2" x14ac:dyDescent="0.25">
      <c r="A120" s="73" t="s">
        <v>95</v>
      </c>
      <c r="B120" s="74">
        <f>'Name of Establishment'!AG120</f>
      </c>
    </row>
    <row r="121" spans="1:2" x14ac:dyDescent="0.25">
      <c r="A121" s="73" t="s">
        <v>96</v>
      </c>
      <c r="B121" s="74">
        <f>'Name of Establishment'!AG121</f>
      </c>
    </row>
    <row r="122" spans="1:2" x14ac:dyDescent="0.25">
      <c r="A122" s="76" t="s">
        <v>37</v>
      </c>
      <c r="B122" s="74">
        <v>0</v>
      </c>
    </row>
    <row r="123" spans="1:2" x14ac:dyDescent="0.25">
      <c r="A123" s="77"/>
      <c r="B123" s="75">
        <v>0</v>
      </c>
    </row>
    <row r="124" spans="1:2" x14ac:dyDescent="0.25">
      <c r="A124" s="71" t="s">
        <v>97</v>
      </c>
      <c r="B124" s="72">
        <v>0</v>
      </c>
    </row>
    <row r="125" spans="1:2" x14ac:dyDescent="0.25">
      <c r="A125" s="73" t="s">
        <v>98</v>
      </c>
      <c r="B125" s="74">
        <f>'Name of Establishment'!AG125</f>
      </c>
    </row>
    <row r="126" spans="1:2" x14ac:dyDescent="0.25">
      <c r="A126" s="73" t="s">
        <v>99</v>
      </c>
      <c r="B126" s="74">
        <f>'Name of Establishment'!AG126</f>
      </c>
    </row>
    <row r="127" spans="1:2" x14ac:dyDescent="0.25">
      <c r="A127" s="73" t="s">
        <v>100</v>
      </c>
      <c r="B127" s="74">
        <f>'Name of Establishment'!AG127</f>
      </c>
    </row>
    <row r="128" spans="1:2" x14ac:dyDescent="0.25">
      <c r="A128" s="73" t="s">
        <v>101</v>
      </c>
      <c r="B128" s="74">
        <f>'Name of Establishment'!AG128</f>
      </c>
    </row>
    <row r="129" spans="1:2" x14ac:dyDescent="0.25">
      <c r="A129" s="73" t="s">
        <v>102</v>
      </c>
      <c r="B129" s="74">
        <f>'Name of Establishment'!AG129</f>
      </c>
    </row>
    <row r="130" spans="1:2" x14ac:dyDescent="0.25">
      <c r="A130" s="76" t="s">
        <v>37</v>
      </c>
      <c r="B130" s="74">
        <f>'Name of Establishment'!AG130</f>
      </c>
    </row>
    <row r="131" spans="1:2" x14ac:dyDescent="0.25">
      <c r="A131" s="78"/>
      <c r="B131" s="75">
        <v>0</v>
      </c>
    </row>
    <row r="132" spans="1:2" x14ac:dyDescent="0.25">
      <c r="A132" s="67" t="s">
        <v>18</v>
      </c>
      <c r="B132" s="68">
        <v>0</v>
      </c>
    </row>
    <row r="133" spans="1:2" x14ac:dyDescent="0.25">
      <c r="A133" s="37"/>
      <c r="B133" s="70">
        <v>0</v>
      </c>
    </row>
    <row r="134" spans="1:2" x14ac:dyDescent="0.25">
      <c r="A134" s="71" t="s">
        <v>103</v>
      </c>
      <c r="B134" s="72">
        <v>0</v>
      </c>
    </row>
    <row r="135" spans="1:2" x14ac:dyDescent="0.25">
      <c r="A135" s="73" t="s">
        <v>104</v>
      </c>
      <c r="B135" s="74">
        <v>0</v>
      </c>
    </row>
    <row r="136" spans="1:2" x14ac:dyDescent="0.25">
      <c r="A136" s="73" t="s">
        <v>105</v>
      </c>
      <c r="B136" s="74">
        <f>'Name of Establishment'!AG136</f>
      </c>
    </row>
    <row r="137" spans="1:2" x14ac:dyDescent="0.25">
      <c r="A137" s="76" t="s">
        <v>37</v>
      </c>
      <c r="B137" s="74">
        <f>'Name of Establishment'!AG137</f>
      </c>
    </row>
    <row r="138" spans="1:2" x14ac:dyDescent="0.25">
      <c r="A138" s="39"/>
      <c r="B138" s="75"/>
    </row>
    <row r="139" spans="1:2" x14ac:dyDescent="0.25">
      <c r="A139" s="36" t="s">
        <v>106</v>
      </c>
      <c r="B139" s="72"/>
    </row>
    <row r="140" spans="1:2" x14ac:dyDescent="0.25">
      <c r="A140" s="36" t="s">
        <v>107</v>
      </c>
      <c r="B140" s="74">
        <f>'Name of Establishment'!AG139</f>
      </c>
    </row>
    <row r="141" spans="1:2" x14ac:dyDescent="0.25">
      <c r="A141" s="37"/>
      <c r="B141" s="75"/>
    </row>
    <row r="142" spans="1:2" x14ac:dyDescent="0.25">
      <c r="A142" s="38" t="s">
        <v>108</v>
      </c>
      <c r="B142" s="74">
        <v>0</v>
      </c>
    </row>
    <row r="143" spans="1:2" x14ac:dyDescent="0.25">
      <c r="A143" s="39"/>
      <c r="B143" s="75">
        <v>0</v>
      </c>
    </row>
    <row r="144" spans="1:2" x14ac:dyDescent="0.25">
      <c r="A144" s="36" t="s">
        <v>109</v>
      </c>
      <c r="B144" s="74">
        <f>'Name of Establishment'!AG143</f>
      </c>
    </row>
    <row r="145" spans="1:2" x14ac:dyDescent="0.25">
      <c r="A145" s="37"/>
      <c r="B145" s="69"/>
    </row>
    <row r="146" spans="1:2" x14ac:dyDescent="0.25">
      <c r="A146" s="40" t="s">
        <v>110</v>
      </c>
      <c r="B146" s="74">
        <f>'Name of Establishment'!AG145</f>
      </c>
    </row>
    <row r="147" spans="1:2" x14ac:dyDescent="0.25">
      <c r="A147" s="43" t="s">
        <v>111</v>
      </c>
      <c r="B147" s="74">
        <f>'Name of Establishment'!AG146</f>
      </c>
    </row>
    <row r="148" spans="1:2" x14ac:dyDescent="0.25">
      <c r="A148" s="43" t="s">
        <v>112</v>
      </c>
      <c r="B148" s="74">
        <v>0</v>
      </c>
    </row>
    <row r="149" spans="1:2" x14ac:dyDescent="0.25">
      <c r="A149" s="43" t="s">
        <v>113</v>
      </c>
      <c r="B149" s="74">
        <f>'Name of Establishment'!AG148</f>
      </c>
    </row>
    <row r="150" spans="1:2" x14ac:dyDescent="0.25">
      <c r="A150" s="43" t="s">
        <v>114</v>
      </c>
      <c r="B150" s="74">
        <f>'Name of Establishment'!AG149</f>
      </c>
    </row>
    <row r="151" spans="1:2" x14ac:dyDescent="0.25">
      <c r="A151" s="52"/>
      <c r="B151" s="56">
        <v>0</v>
      </c>
    </row>
    <row r="152" ht="15.6" customHeight="1" spans="1:2" x14ac:dyDescent="0.25">
      <c r="A152" s="46" t="s">
        <v>115</v>
      </c>
      <c r="B152" s="74"/>
    </row>
    <row r="153" ht="15.6" customHeight="1" spans="1:2" x14ac:dyDescent="0.25">
      <c r="A153" s="46"/>
      <c r="B153" s="74"/>
    </row>
    <row r="154" ht="15.6" customHeight="1" spans="1:2" x14ac:dyDescent="0.25">
      <c r="A154" s="48" t="s">
        <v>116</v>
      </c>
      <c r="B154" s="79"/>
    </row>
    <row r="155" spans="1:2" x14ac:dyDescent="0.25">
      <c r="A155" s="49" t="s">
        <v>117</v>
      </c>
      <c r="B155" s="49">
        <f>'Name of Establishment'!AG154</f>
      </c>
    </row>
    <row r="156" spans="1:2" x14ac:dyDescent="0.25">
      <c r="A156" s="49" t="s">
        <v>118</v>
      </c>
      <c r="B156" s="49">
        <f>'Name of Establishment'!AG155</f>
      </c>
    </row>
    <row r="157" spans="1:2" x14ac:dyDescent="0.25">
      <c r="A157" s="49" t="s">
        <v>119</v>
      </c>
      <c r="B157" s="49">
        <f>'Name of Establishment'!AG156</f>
      </c>
    </row>
    <row r="158" ht="15.6" customHeight="1" spans="1:2" x14ac:dyDescent="0.25">
      <c r="A158" s="50" t="s">
        <v>120</v>
      </c>
      <c r="B158" s="75"/>
    </row>
    <row r="159" spans="1:2" x14ac:dyDescent="0.25">
      <c r="A159" s="49" t="s">
        <v>121</v>
      </c>
      <c r="B159" s="49">
        <f>'Name of Establishment'!AG158</f>
      </c>
    </row>
    <row r="160" spans="1:2" x14ac:dyDescent="0.25">
      <c r="A160" s="49" t="s">
        <v>122</v>
      </c>
      <c r="B160" s="49">
        <v>6</v>
      </c>
    </row>
    <row r="161" ht="15.6" customHeight="1" spans="1:2" x14ac:dyDescent="0.25">
      <c r="A161" s="48" t="s">
        <v>123</v>
      </c>
      <c r="B161" s="79">
        <v>300</v>
      </c>
    </row>
    <row r="162" spans="1:2" x14ac:dyDescent="0.25">
      <c r="A162" s="51" t="s">
        <v>124</v>
      </c>
      <c r="B162" s="49">
        <v>14</v>
      </c>
    </row>
    <row r="163" spans="1:2" x14ac:dyDescent="0.25">
      <c r="A163" s="49" t="s">
        <v>125</v>
      </c>
      <c r="B163" s="49">
        <f>'Name of Establishment'!AG162</f>
      </c>
    </row>
    <row r="164" spans="1:2" x14ac:dyDescent="0.25">
      <c r="A164" s="49" t="s">
        <v>126</v>
      </c>
      <c r="B164" s="49">
        <f>'Name of Establishment'!AG163</f>
      </c>
    </row>
    <row r="165" spans="1:2" x14ac:dyDescent="0.25">
      <c r="A165" s="49" t="s">
        <v>127</v>
      </c>
      <c r="B165" s="49" t="s">
        <v>133</v>
      </c>
    </row>
    <row r="166" spans="1:2" x14ac:dyDescent="0.25">
      <c r="A166" s="49" t="s">
        <v>128</v>
      </c>
      <c r="B166" s="49" t="s">
        <v>144</v>
      </c>
    </row>
    <row r="167" spans="1:2" x14ac:dyDescent="0.25">
      <c r="A167" s="49" t="s">
        <v>131</v>
      </c>
      <c r="B167" s="49">
        <f>'Name of Establishment'!AG166</f>
      </c>
    </row>
    <row r="168" spans="1:2" x14ac:dyDescent="0.25">
      <c r="A168" s="51" t="s">
        <v>134</v>
      </c>
      <c r="B168" s="49"/>
    </row>
    <row r="169" spans="1:2" x14ac:dyDescent="0.25">
      <c r="A169" s="49" t="s">
        <v>125</v>
      </c>
      <c r="B169" s="49">
        <f>'Name of Establishment'!AG168</f>
      </c>
    </row>
    <row r="170" spans="1:2" x14ac:dyDescent="0.25">
      <c r="A170" s="49" t="s">
        <v>126</v>
      </c>
      <c r="B170" s="49">
        <f>'Name of Establishment'!AG169</f>
      </c>
    </row>
    <row r="171" spans="1:2" x14ac:dyDescent="0.25">
      <c r="A171" s="49" t="s">
        <v>127</v>
      </c>
      <c r="B171" s="49">
        <v>1</v>
      </c>
    </row>
    <row r="172" spans="1:2" x14ac:dyDescent="0.25">
      <c r="A172" s="49" t="s">
        <v>128</v>
      </c>
      <c r="B172" s="49">
        <v>6</v>
      </c>
    </row>
    <row r="173" spans="1:2" x14ac:dyDescent="0.25">
      <c r="A173" s="49" t="s">
        <v>131</v>
      </c>
      <c r="B173" s="49">
        <v>0</v>
      </c>
    </row>
    <row r="174" spans="1:2" x14ac:dyDescent="0.25">
      <c r="A174" s="52" t="s">
        <v>135</v>
      </c>
      <c r="B174" s="63">
        <v>0</v>
      </c>
    </row>
    <row r="175" spans="1:2" x14ac:dyDescent="0.25">
      <c r="A175" s="52" t="s">
        <v>136</v>
      </c>
      <c r="B175" s="63"/>
    </row>
    <row r="176" spans="1:2" x14ac:dyDescent="0.25">
      <c r="A176" s="63"/>
      <c r="B176" s="55" t="s">
        <v>145</v>
      </c>
    </row>
    <row r="177" spans="1:2" x14ac:dyDescent="0.25">
      <c r="A177" s="80" t="s">
        <v>146</v>
      </c>
      <c r="B177" s="55" t="s">
        <v>147</v>
      </c>
    </row>
    <row r="178" spans="1:2" x14ac:dyDescent="0.25">
      <c r="A178" s="55" t="s">
        <v>148</v>
      </c>
      <c r="B178" s="63">
        <v>2</v>
      </c>
    </row>
    <row r="179" spans="1:2" x14ac:dyDescent="0.25">
      <c r="A179" s="63"/>
      <c r="B179" s="63">
        <v>0</v>
      </c>
    </row>
    <row r="180" spans="1:2" x14ac:dyDescent="0.25">
      <c r="A180" s="55" t="s">
        <v>149</v>
      </c>
      <c r="B180" s="63">
        <v>0</v>
      </c>
    </row>
    <row r="181" spans="1:2" x14ac:dyDescent="0.25">
      <c r="A181" s="55" t="s">
        <v>150</v>
      </c>
      <c r="B181" s="63">
        <v>0</v>
      </c>
    </row>
    <row r="190" spans="1:1" x14ac:dyDescent="0.25">
      <c r="A190" t="s">
        <v>139</v>
      </c>
    </row>
  </sheetData>
  <mergeCells count="4">
    <mergeCell ref="A3:B3"/>
    <mergeCell ref="A4:B4"/>
    <mergeCell ref="A5:B5"/>
    <mergeCell ref="A7:B7"/>
  </mergeCells>
  <printOptions horizontalCentered="1"/>
  <pageMargins left="0.25" right="0.25" top="0.25" bottom="0.25" header="0.25" footer="0.5"/>
  <pageSetup paperSize="9" orientation="portrait" horizontalDpi="4294967295" verticalDpi="4294967295" scale="88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0"/>
  <sheetViews>
    <sheetView workbookViewId="0" zoomScale="100" zoomScaleNormal="100">
      <selection activeCell="F13" sqref="F13"/>
    </sheetView>
  </sheetViews>
  <sheetFormatPr defaultRowHeight="13.2" outlineLevelRow="0" outlineLevelCol="0" x14ac:dyDescent="0.25" defaultColWidth="8.88671875" customHeight="1"/>
  <cols>
    <col min="1" max="1" width="59.109375" customWidth="1"/>
    <col min="2" max="13" width="11" customWidth="1"/>
  </cols>
  <sheetData>
    <row r="1" spans="1:2" x14ac:dyDescent="0.25">
      <c r="A1" s="55" t="s">
        <v>140</v>
      </c>
      <c r="B1" s="56"/>
    </row>
    <row r="2" spans="1:2" x14ac:dyDescent="0.25">
      <c r="A2" s="55"/>
      <c r="B2" s="56"/>
    </row>
    <row r="3" spans="1:2" x14ac:dyDescent="0.25">
      <c r="A3" s="57" t="s">
        <v>141</v>
      </c>
      <c r="B3" s="57"/>
    </row>
    <row r="4" spans="1:2" x14ac:dyDescent="0.25">
      <c r="A4" s="58" t="s">
        <v>142</v>
      </c>
      <c r="B4" s="58"/>
    </row>
    <row r="5" spans="1:2" x14ac:dyDescent="0.25">
      <c r="A5" s="59" t="s">
        <v>151</v>
      </c>
      <c r="B5" s="59"/>
    </row>
    <row r="6" ht="15.6" customHeight="1" spans="1:2" x14ac:dyDescent="0.25">
      <c r="A6" s="60"/>
      <c r="B6" s="61"/>
    </row>
    <row r="7" ht="15.6" customHeight="1" spans="1:2" x14ac:dyDescent="0.25">
      <c r="A7" s="62" t="s">
        <v>4</v>
      </c>
      <c r="B7" s="62"/>
    </row>
    <row r="8" spans="1:2" x14ac:dyDescent="0.25">
      <c r="A8" s="63"/>
      <c r="B8" s="63"/>
    </row>
    <row r="9" spans="1:2" x14ac:dyDescent="0.25">
      <c r="A9" s="64" t="s">
        <v>5</v>
      </c>
      <c r="B9" s="56"/>
    </row>
    <row r="10" spans="1:2" x14ac:dyDescent="0.25">
      <c r="A10" s="55" t="s">
        <v>6</v>
      </c>
      <c r="B10" s="65"/>
    </row>
    <row r="11" spans="1:2" x14ac:dyDescent="0.25">
      <c r="A11" s="55" t="s">
        <v>7</v>
      </c>
      <c r="B11" s="66"/>
    </row>
    <row r="12" spans="1:2" x14ac:dyDescent="0.25">
      <c r="A12" s="55" t="s">
        <v>9</v>
      </c>
      <c r="B12" s="65"/>
    </row>
    <row r="13" spans="1:2" x14ac:dyDescent="0.25">
      <c r="A13" s="55" t="s">
        <v>10</v>
      </c>
      <c r="B13" s="65"/>
    </row>
    <row r="14" spans="1:2" x14ac:dyDescent="0.25">
      <c r="A14" s="55" t="s">
        <v>11</v>
      </c>
      <c r="B14" s="65"/>
    </row>
    <row r="15" spans="1:2" x14ac:dyDescent="0.25">
      <c r="A15" s="55" t="s">
        <v>12</v>
      </c>
      <c r="B15" s="65"/>
    </row>
    <row r="16" spans="1:2" x14ac:dyDescent="0.25">
      <c r="A16" s="55"/>
      <c r="B16" s="56"/>
    </row>
    <row r="17" spans="1:2" x14ac:dyDescent="0.25">
      <c r="A17" s="64" t="str">
        <f>'Name of Establishment'!A17</f>
        <v>DOT Accreditation Classification: _____________________________</v>
      </c>
      <c r="B17" s="56"/>
    </row>
    <row r="18" spans="1:2" x14ac:dyDescent="0.25">
      <c r="A18" s="56"/>
      <c r="B18" s="56"/>
    </row>
    <row r="19" spans="1:2" x14ac:dyDescent="0.25">
      <c r="A19" s="64" t="str">
        <f>'Name of Establishment'!A19</f>
        <v>AE ID Code (LGU Assigned): _________________________________________</v>
      </c>
      <c r="B19" s="56"/>
    </row>
    <row r="20" spans="1:2" x14ac:dyDescent="0.25">
      <c r="A20" s="64" t="str">
        <f>'Name of Establishment'!A20</f>
        <v>AE ID Code (LGU Assigned): ____________________________________________</v>
      </c>
      <c r="B20" s="56"/>
    </row>
    <row r="21" spans="1:2" x14ac:dyDescent="0.25">
      <c r="A21" s="64"/>
      <c r="B21" s="63"/>
    </row>
    <row r="22" spans="1:2" x14ac:dyDescent="0.25">
      <c r="A22" s="64" t="str">
        <f>'Name of Establishment'!A22</f>
        <v>City/Municipality: ___________________</v>
      </c>
      <c r="B22" s="56"/>
    </row>
    <row r="23" spans="1:2" x14ac:dyDescent="0.25">
      <c r="A23" s="64" t="str">
        <f>'Name of Establishment'!A23</f>
        <v>Province: _____________________</v>
      </c>
      <c r="B23" s="56"/>
    </row>
    <row r="24" spans="1:2" x14ac:dyDescent="0.25">
      <c r="A24" s="56"/>
      <c r="B24" s="56"/>
    </row>
    <row r="25" spans="1:14" x14ac:dyDescent="0.25">
      <c r="A25" s="81" t="s">
        <v>18</v>
      </c>
      <c r="B25" s="82" t="s">
        <v>152</v>
      </c>
      <c r="C25" s="82" t="s">
        <v>153</v>
      </c>
      <c r="D25" s="82" t="s">
        <v>154</v>
      </c>
      <c r="E25" s="82" t="s">
        <v>155</v>
      </c>
      <c r="F25" s="82" t="s">
        <v>156</v>
      </c>
      <c r="G25" s="82" t="s">
        <v>157</v>
      </c>
      <c r="H25" s="82" t="s">
        <v>158</v>
      </c>
      <c r="I25" s="82" t="s">
        <v>159</v>
      </c>
      <c r="J25" s="82" t="s">
        <v>160</v>
      </c>
      <c r="K25" s="82" t="s">
        <v>161</v>
      </c>
      <c r="L25" s="82" t="s">
        <v>162</v>
      </c>
      <c r="M25" s="82" t="s">
        <v>163</v>
      </c>
      <c r="N25" s="83" t="s">
        <v>19</v>
      </c>
    </row>
    <row r="26" spans="1:14" x14ac:dyDescent="0.25">
      <c r="A26" s="8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85"/>
    </row>
    <row r="27" spans="1:14" x14ac:dyDescent="0.25">
      <c r="A27" s="86" t="s">
        <v>20</v>
      </c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8"/>
    </row>
    <row r="28" spans="1:14" x14ac:dyDescent="0.25">
      <c r="A28" s="89" t="s">
        <v>21</v>
      </c>
      <c r="B28" s="90">
        <v>0</v>
      </c>
      <c r="C28" s="90">
        <v>0</v>
      </c>
      <c r="D28" s="90">
        <v>0</v>
      </c>
      <c r="E28" s="90">
        <v>0</v>
      </c>
      <c r="F28" s="90">
        <v>0</v>
      </c>
      <c r="G28" s="90">
        <v>3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1">
        <f>SUM(B28:M28)</f>
      </c>
    </row>
    <row r="29" spans="1:14" x14ac:dyDescent="0.25">
      <c r="A29" s="89" t="s">
        <v>22</v>
      </c>
      <c r="B29" s="90">
        <v>0</v>
      </c>
      <c r="C29" s="90">
        <v>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1">
        <f t="shared" ref="N29:N30" si="0">SUM(B29:M29)</f>
      </c>
    </row>
    <row r="30" spans="1:14" x14ac:dyDescent="0.25">
      <c r="A30" s="92" t="s">
        <v>23</v>
      </c>
      <c r="B30" s="43">
        <f>SUM(B28:B29)</f>
      </c>
      <c r="C30" s="43">
        <f t="shared" ref="C30:M30" si="1">SUM(C28:C29)</f>
      </c>
      <c r="D30" s="43">
        <f t="shared" si="1"/>
      </c>
      <c r="E30" s="43">
        <f t="shared" si="1"/>
      </c>
      <c r="F30" s="43">
        <f t="shared" si="1"/>
      </c>
      <c r="G30" s="43">
        <f t="shared" si="1"/>
      </c>
      <c r="H30" s="43">
        <f t="shared" si="1"/>
      </c>
      <c r="I30" s="43">
        <f t="shared" si="1"/>
      </c>
      <c r="J30" s="43">
        <f t="shared" si="1"/>
      </c>
      <c r="K30" s="43">
        <f t="shared" si="1"/>
      </c>
      <c r="L30" s="43">
        <f t="shared" si="1"/>
      </c>
      <c r="M30" s="43">
        <f t="shared" si="1"/>
      </c>
      <c r="N30" s="91">
        <f t="shared" si="0"/>
      </c>
    </row>
    <row r="31" spans="1:14" x14ac:dyDescent="0.25">
      <c r="A31" s="93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94"/>
    </row>
    <row r="32" spans="1:14" x14ac:dyDescent="0.25">
      <c r="A32" s="86" t="s">
        <v>24</v>
      </c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95"/>
    </row>
    <row r="33" spans="1:14" x14ac:dyDescent="0.25">
      <c r="A33" s="93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94"/>
    </row>
    <row r="34" spans="1:14" x14ac:dyDescent="0.25">
      <c r="A34" s="86" t="s">
        <v>26</v>
      </c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95"/>
    </row>
    <row r="35" spans="1:14" x14ac:dyDescent="0.25">
      <c r="A35" s="96" t="s">
        <v>27</v>
      </c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5"/>
    </row>
    <row r="36" spans="1:14" x14ac:dyDescent="0.25">
      <c r="A36" s="89" t="s">
        <v>28</v>
      </c>
      <c r="B36" s="90">
        <v>0</v>
      </c>
      <c r="C36" s="90">
        <v>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1">
        <f t="shared" ref="N36:N45" si="2">SUM(B36:M36)</f>
      </c>
    </row>
    <row r="37" spans="1:14" x14ac:dyDescent="0.25">
      <c r="A37" s="89" t="s">
        <v>29</v>
      </c>
      <c r="B37" s="90">
        <v>0</v>
      </c>
      <c r="C37" s="90">
        <v>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1">
        <f t="shared" si="2"/>
      </c>
    </row>
    <row r="38" spans="1:14" x14ac:dyDescent="0.25">
      <c r="A38" s="89" t="s">
        <v>30</v>
      </c>
      <c r="B38" s="90">
        <v>0</v>
      </c>
      <c r="C38" s="90">
        <v>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1">
        <f t="shared" si="2"/>
      </c>
    </row>
    <row r="39" spans="1:14" x14ac:dyDescent="0.25">
      <c r="A39" s="89" t="s">
        <v>31</v>
      </c>
      <c r="B39" s="90">
        <v>0</v>
      </c>
      <c r="C39" s="90">
        <v>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1">
        <f t="shared" si="2"/>
      </c>
    </row>
    <row r="40" spans="1:14" x14ac:dyDescent="0.25">
      <c r="A40" s="89" t="s">
        <v>32</v>
      </c>
      <c r="B40" s="90">
        <v>0</v>
      </c>
      <c r="C40" s="90">
        <v>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1">
        <f t="shared" si="2"/>
      </c>
    </row>
    <row r="41" spans="1:14" x14ac:dyDescent="0.25">
      <c r="A41" s="89" t="s">
        <v>33</v>
      </c>
      <c r="B41" s="90">
        <v>0</v>
      </c>
      <c r="C41" s="90">
        <v>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1">
        <f t="shared" si="2"/>
      </c>
    </row>
    <row r="42" spans="1:14" x14ac:dyDescent="0.25">
      <c r="A42" s="89" t="s">
        <v>34</v>
      </c>
      <c r="B42" s="90">
        <v>0</v>
      </c>
      <c r="C42" s="90">
        <v>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1">
        <f t="shared" si="2"/>
      </c>
    </row>
    <row r="43" spans="1:14" x14ac:dyDescent="0.25">
      <c r="A43" s="89" t="s">
        <v>35</v>
      </c>
      <c r="B43" s="90">
        <v>0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1">
        <f t="shared" si="2"/>
      </c>
    </row>
    <row r="44" spans="1:14" x14ac:dyDescent="0.25">
      <c r="A44" s="89" t="s">
        <v>36</v>
      </c>
      <c r="B44" s="90">
        <v>0</v>
      </c>
      <c r="C44" s="90">
        <v>0</v>
      </c>
      <c r="D44" s="90">
        <v>0</v>
      </c>
      <c r="E44" s="90">
        <v>0</v>
      </c>
      <c r="F44" s="90">
        <v>0</v>
      </c>
      <c r="G44" s="90">
        <v>0</v>
      </c>
      <c r="H44" s="90">
        <v>0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1">
        <f t="shared" si="2"/>
      </c>
    </row>
    <row r="45" spans="1:14" x14ac:dyDescent="0.25">
      <c r="A45" s="98" t="s">
        <v>37</v>
      </c>
      <c r="B45" s="99">
        <f>SUM(B36:B44)</f>
      </c>
      <c r="C45" s="99">
        <f t="shared" ref="C45:M45" si="3">SUM(C36:C44)</f>
      </c>
      <c r="D45" s="99">
        <f t="shared" si="3"/>
      </c>
      <c r="E45" s="99">
        <f t="shared" si="3"/>
      </c>
      <c r="F45" s="99">
        <f t="shared" si="3"/>
      </c>
      <c r="G45" s="99">
        <f t="shared" si="3"/>
      </c>
      <c r="H45" s="99">
        <f t="shared" si="3"/>
      </c>
      <c r="I45" s="99">
        <f t="shared" si="3"/>
      </c>
      <c r="J45" s="99">
        <f t="shared" si="3"/>
      </c>
      <c r="K45" s="99">
        <f t="shared" si="3"/>
      </c>
      <c r="L45" s="99">
        <f t="shared" si="3"/>
      </c>
      <c r="M45" s="99">
        <f t="shared" si="3"/>
      </c>
      <c r="N45" s="91">
        <f t="shared" si="2"/>
      </c>
    </row>
    <row r="46" spans="1:14" x14ac:dyDescent="0.25">
      <c r="A46" s="100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94"/>
    </row>
    <row r="47" spans="1:14" x14ac:dyDescent="0.25">
      <c r="A47" s="96" t="s">
        <v>38</v>
      </c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5"/>
    </row>
    <row r="48" spans="1:14" x14ac:dyDescent="0.25">
      <c r="A48" s="89" t="s">
        <v>39</v>
      </c>
      <c r="B48" s="90">
        <v>0</v>
      </c>
      <c r="C48" s="90">
        <v>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  <c r="I48" s="90">
        <v>0</v>
      </c>
      <c r="J48" s="90">
        <v>0</v>
      </c>
      <c r="K48" s="90">
        <v>0</v>
      </c>
      <c r="L48" s="90">
        <v>0</v>
      </c>
      <c r="M48" s="90">
        <v>0</v>
      </c>
      <c r="N48" s="91">
        <f t="shared" ref="N48:N53" si="4">SUM(B48:M48)</f>
      </c>
    </row>
    <row r="49" spans="1:14" x14ac:dyDescent="0.25">
      <c r="A49" s="89" t="s">
        <v>40</v>
      </c>
      <c r="B49" s="90">
        <v>0</v>
      </c>
      <c r="C49" s="90">
        <v>0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1">
        <f t="shared" si="4"/>
      </c>
    </row>
    <row r="50" spans="1:14" x14ac:dyDescent="0.25">
      <c r="A50" s="89" t="s">
        <v>41</v>
      </c>
      <c r="B50" s="90">
        <v>0</v>
      </c>
      <c r="C50" s="90">
        <v>0</v>
      </c>
      <c r="D50" s="90">
        <v>0</v>
      </c>
      <c r="E50" s="90">
        <v>0</v>
      </c>
      <c r="F50" s="90">
        <v>0</v>
      </c>
      <c r="G50" s="90">
        <v>0</v>
      </c>
      <c r="H50" s="90">
        <v>0</v>
      </c>
      <c r="I50" s="90">
        <v>0</v>
      </c>
      <c r="J50" s="90">
        <v>0</v>
      </c>
      <c r="K50" s="90">
        <v>0</v>
      </c>
      <c r="L50" s="90">
        <v>0</v>
      </c>
      <c r="M50" s="90">
        <v>0</v>
      </c>
      <c r="N50" s="91">
        <f t="shared" si="4"/>
      </c>
    </row>
    <row r="51" spans="1:14" x14ac:dyDescent="0.25">
      <c r="A51" s="89" t="s">
        <v>42</v>
      </c>
      <c r="B51" s="90">
        <v>0</v>
      </c>
      <c r="C51" s="90">
        <v>0</v>
      </c>
      <c r="D51" s="90">
        <v>0</v>
      </c>
      <c r="E51" s="90">
        <v>0</v>
      </c>
      <c r="F51" s="90">
        <v>0</v>
      </c>
      <c r="G51" s="90">
        <v>0</v>
      </c>
      <c r="H51" s="90">
        <v>0</v>
      </c>
      <c r="I51" s="90">
        <v>0</v>
      </c>
      <c r="J51" s="90">
        <v>0</v>
      </c>
      <c r="K51" s="90">
        <v>0</v>
      </c>
      <c r="L51" s="90">
        <v>0</v>
      </c>
      <c r="M51" s="90">
        <v>0</v>
      </c>
      <c r="N51" s="91">
        <f t="shared" si="4"/>
      </c>
    </row>
    <row r="52" spans="1:14" x14ac:dyDescent="0.25">
      <c r="A52" s="89" t="s">
        <v>43</v>
      </c>
      <c r="B52" s="90">
        <v>0</v>
      </c>
      <c r="C52" s="90">
        <v>0</v>
      </c>
      <c r="D52" s="90">
        <v>0</v>
      </c>
      <c r="E52" s="90">
        <v>0</v>
      </c>
      <c r="F52" s="90">
        <v>0</v>
      </c>
      <c r="G52" s="90">
        <v>0</v>
      </c>
      <c r="H52" s="90">
        <v>0</v>
      </c>
      <c r="I52" s="90">
        <v>0</v>
      </c>
      <c r="J52" s="90">
        <v>0</v>
      </c>
      <c r="K52" s="90">
        <v>0</v>
      </c>
      <c r="L52" s="90">
        <v>0</v>
      </c>
      <c r="M52" s="90">
        <v>0</v>
      </c>
      <c r="N52" s="91">
        <f t="shared" si="4"/>
      </c>
    </row>
    <row r="53" spans="1:14" x14ac:dyDescent="0.25">
      <c r="A53" s="98" t="s">
        <v>44</v>
      </c>
      <c r="B53" s="99">
        <f>SUM(B48:B52)</f>
      </c>
      <c r="C53" s="99">
        <f t="shared" ref="C53:M53" si="5">SUM(C48:C52)</f>
      </c>
      <c r="D53" s="99">
        <f t="shared" si="5"/>
      </c>
      <c r="E53" s="99">
        <f t="shared" si="5"/>
      </c>
      <c r="F53" s="99">
        <f t="shared" si="5"/>
      </c>
      <c r="G53" s="99">
        <f t="shared" si="5"/>
      </c>
      <c r="H53" s="99">
        <f t="shared" si="5"/>
      </c>
      <c r="I53" s="99">
        <f t="shared" si="5"/>
      </c>
      <c r="J53" s="99">
        <f t="shared" si="5"/>
      </c>
      <c r="K53" s="99">
        <f t="shared" si="5"/>
      </c>
      <c r="L53" s="99">
        <f t="shared" si="5"/>
      </c>
      <c r="M53" s="99">
        <f t="shared" si="5"/>
      </c>
      <c r="N53" s="91">
        <f t="shared" si="4"/>
      </c>
    </row>
    <row r="54" spans="1:14" x14ac:dyDescent="0.25">
      <c r="A54" s="100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94"/>
    </row>
    <row r="55" spans="1:14" x14ac:dyDescent="0.25">
      <c r="A55" s="96" t="s">
        <v>45</v>
      </c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5"/>
    </row>
    <row r="56" spans="1:14" x14ac:dyDescent="0.25">
      <c r="A56" s="89" t="s">
        <v>46</v>
      </c>
      <c r="B56" s="90">
        <v>0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1">
        <f t="shared" ref="N56:N62" si="6">SUM(B56:M56)</f>
      </c>
    </row>
    <row r="57" spans="1:14" x14ac:dyDescent="0.25">
      <c r="A57" s="89" t="s">
        <v>47</v>
      </c>
      <c r="B57" s="90">
        <v>0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1">
        <f t="shared" si="6"/>
      </c>
    </row>
    <row r="58" spans="1:14" x14ac:dyDescent="0.25">
      <c r="A58" s="89" t="s">
        <v>48</v>
      </c>
      <c r="B58" s="90">
        <v>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1">
        <f t="shared" si="6"/>
      </c>
    </row>
    <row r="59" spans="1:14" x14ac:dyDescent="0.25">
      <c r="A59" s="89" t="s">
        <v>49</v>
      </c>
      <c r="B59" s="90">
        <v>0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1">
        <f t="shared" si="6"/>
      </c>
    </row>
    <row r="60" spans="1:14" x14ac:dyDescent="0.25">
      <c r="A60" s="89" t="s">
        <v>50</v>
      </c>
      <c r="B60" s="90">
        <v>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1">
        <f t="shared" si="6"/>
      </c>
    </row>
    <row r="61" spans="1:14" x14ac:dyDescent="0.25">
      <c r="A61" s="89" t="s">
        <v>51</v>
      </c>
      <c r="B61" s="90">
        <v>0</v>
      </c>
      <c r="C61" s="90">
        <v>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  <c r="I61" s="90">
        <v>0</v>
      </c>
      <c r="J61" s="90">
        <v>0</v>
      </c>
      <c r="K61" s="90">
        <v>0</v>
      </c>
      <c r="L61" s="90">
        <v>0</v>
      </c>
      <c r="M61" s="90">
        <v>0</v>
      </c>
      <c r="N61" s="91">
        <f t="shared" si="6"/>
      </c>
    </row>
    <row r="62" spans="1:14" x14ac:dyDescent="0.25">
      <c r="A62" s="98" t="s">
        <v>37</v>
      </c>
      <c r="B62" s="99">
        <f>SUM(B56:B61)</f>
      </c>
      <c r="C62" s="99">
        <f t="shared" ref="C62:M62" si="7">SUM(C56:C61)</f>
      </c>
      <c r="D62" s="99">
        <f t="shared" si="7"/>
      </c>
      <c r="E62" s="99">
        <f t="shared" si="7"/>
      </c>
      <c r="F62" s="99">
        <f t="shared" si="7"/>
      </c>
      <c r="G62" s="99">
        <f t="shared" si="7"/>
      </c>
      <c r="H62" s="99">
        <f t="shared" si="7"/>
      </c>
      <c r="I62" s="99">
        <f t="shared" si="7"/>
      </c>
      <c r="J62" s="99">
        <f t="shared" si="7"/>
      </c>
      <c r="K62" s="99">
        <f t="shared" si="7"/>
      </c>
      <c r="L62" s="99">
        <f t="shared" si="7"/>
      </c>
      <c r="M62" s="99">
        <f t="shared" si="7"/>
      </c>
      <c r="N62" s="91">
        <f t="shared" si="6"/>
      </c>
    </row>
    <row r="63" spans="1:14" x14ac:dyDescent="0.25">
      <c r="A63" s="100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94"/>
    </row>
    <row r="64" spans="1:14" x14ac:dyDescent="0.25">
      <c r="A64" s="96" t="s">
        <v>52</v>
      </c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5"/>
    </row>
    <row r="65" spans="1:14" x14ac:dyDescent="0.25">
      <c r="A65" s="89" t="s">
        <v>53</v>
      </c>
      <c r="B65" s="90">
        <v>0</v>
      </c>
      <c r="C65" s="90">
        <v>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  <c r="N65" s="91">
        <f t="shared" ref="N65:N72" si="8">SUM(B65:M65)</f>
      </c>
    </row>
    <row r="66" spans="1:14" x14ac:dyDescent="0.25">
      <c r="A66" s="89" t="s">
        <v>54</v>
      </c>
      <c r="B66" s="90">
        <v>0</v>
      </c>
      <c r="C66" s="90">
        <v>0</v>
      </c>
      <c r="D66" s="90">
        <v>0</v>
      </c>
      <c r="E66" s="90">
        <v>0</v>
      </c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1">
        <f t="shared" si="8"/>
      </c>
    </row>
    <row r="67" spans="1:14" x14ac:dyDescent="0.25">
      <c r="A67" s="89" t="s">
        <v>55</v>
      </c>
      <c r="B67" s="90">
        <v>0</v>
      </c>
      <c r="C67" s="90">
        <v>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1">
        <f t="shared" si="8"/>
      </c>
    </row>
    <row r="68" spans="1:14" x14ac:dyDescent="0.25">
      <c r="A68" s="89" t="s">
        <v>56</v>
      </c>
      <c r="B68" s="90">
        <v>0</v>
      </c>
      <c r="C68" s="90">
        <v>0</v>
      </c>
      <c r="D68" s="90">
        <v>0</v>
      </c>
      <c r="E68" s="90">
        <v>0</v>
      </c>
      <c r="F68" s="90">
        <v>0</v>
      </c>
      <c r="G68" s="90">
        <v>0</v>
      </c>
      <c r="H68" s="90">
        <v>0</v>
      </c>
      <c r="I68" s="90">
        <v>0</v>
      </c>
      <c r="J68" s="90">
        <v>0</v>
      </c>
      <c r="K68" s="90">
        <v>0</v>
      </c>
      <c r="L68" s="90">
        <v>0</v>
      </c>
      <c r="M68" s="90">
        <v>0</v>
      </c>
      <c r="N68" s="91">
        <f t="shared" si="8"/>
      </c>
    </row>
    <row r="69" spans="1:14" x14ac:dyDescent="0.25">
      <c r="A69" s="89" t="s">
        <v>57</v>
      </c>
      <c r="B69" s="90">
        <v>0</v>
      </c>
      <c r="C69" s="90">
        <v>0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  <c r="I69" s="90">
        <v>0</v>
      </c>
      <c r="J69" s="90">
        <v>0</v>
      </c>
      <c r="K69" s="90">
        <v>0</v>
      </c>
      <c r="L69" s="90">
        <v>0</v>
      </c>
      <c r="M69" s="90">
        <v>0</v>
      </c>
      <c r="N69" s="91">
        <f t="shared" si="8"/>
      </c>
    </row>
    <row r="70" spans="1:14" x14ac:dyDescent="0.25">
      <c r="A70" s="89" t="s">
        <v>58</v>
      </c>
      <c r="B70" s="90">
        <v>0</v>
      </c>
      <c r="C70" s="90">
        <v>0</v>
      </c>
      <c r="D70" s="90">
        <v>0</v>
      </c>
      <c r="E70" s="90">
        <v>0</v>
      </c>
      <c r="F70" s="90">
        <v>0</v>
      </c>
      <c r="G70" s="90">
        <v>0</v>
      </c>
      <c r="H70" s="90">
        <v>0</v>
      </c>
      <c r="I70" s="90">
        <v>0</v>
      </c>
      <c r="J70" s="90">
        <v>0</v>
      </c>
      <c r="K70" s="90">
        <v>0</v>
      </c>
      <c r="L70" s="90">
        <v>0</v>
      </c>
      <c r="M70" s="90">
        <v>0</v>
      </c>
      <c r="N70" s="91">
        <f t="shared" si="8"/>
      </c>
    </row>
    <row r="71" spans="1:14" x14ac:dyDescent="0.25">
      <c r="A71" s="89" t="s">
        <v>59</v>
      </c>
      <c r="B71" s="90">
        <v>0</v>
      </c>
      <c r="C71" s="90">
        <v>0</v>
      </c>
      <c r="D71" s="90">
        <v>0</v>
      </c>
      <c r="E71" s="90">
        <v>0</v>
      </c>
      <c r="F71" s="90">
        <v>0</v>
      </c>
      <c r="G71" s="90">
        <v>0</v>
      </c>
      <c r="H71" s="90">
        <v>0</v>
      </c>
      <c r="I71" s="90">
        <v>0</v>
      </c>
      <c r="J71" s="90">
        <v>0</v>
      </c>
      <c r="K71" s="90">
        <v>0</v>
      </c>
      <c r="L71" s="90">
        <v>0</v>
      </c>
      <c r="M71" s="90">
        <v>0</v>
      </c>
      <c r="N71" s="91">
        <f t="shared" si="8"/>
      </c>
    </row>
    <row r="72" spans="1:14" x14ac:dyDescent="0.25">
      <c r="A72" s="98" t="s">
        <v>37</v>
      </c>
      <c r="B72" s="99">
        <f>SUM(B65:B71)</f>
      </c>
      <c r="C72" s="99">
        <f t="shared" ref="C72:M72" si="9">SUM(C65:C71)</f>
      </c>
      <c r="D72" s="99">
        <f t="shared" si="9"/>
      </c>
      <c r="E72" s="99">
        <f t="shared" si="9"/>
      </c>
      <c r="F72" s="99">
        <f t="shared" si="9"/>
      </c>
      <c r="G72" s="99">
        <f t="shared" si="9"/>
      </c>
      <c r="H72" s="99">
        <f t="shared" si="9"/>
      </c>
      <c r="I72" s="99">
        <f t="shared" si="9"/>
      </c>
      <c r="J72" s="99">
        <f t="shared" si="9"/>
      </c>
      <c r="K72" s="99">
        <f t="shared" si="9"/>
      </c>
      <c r="L72" s="99">
        <f t="shared" si="9"/>
      </c>
      <c r="M72" s="99">
        <f t="shared" si="9"/>
      </c>
      <c r="N72" s="91">
        <f t="shared" si="8"/>
      </c>
    </row>
    <row r="73" spans="1:14" x14ac:dyDescent="0.25">
      <c r="A73" s="102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94"/>
    </row>
    <row r="74" spans="1:14" x14ac:dyDescent="0.25">
      <c r="A74" s="81" t="s">
        <v>18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83"/>
    </row>
    <row r="75" spans="1:14" x14ac:dyDescent="0.25">
      <c r="A75" s="86" t="s">
        <v>60</v>
      </c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95"/>
    </row>
    <row r="76" spans="1:14" x14ac:dyDescent="0.25">
      <c r="A76" s="96" t="s">
        <v>61</v>
      </c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5"/>
    </row>
    <row r="77" spans="1:14" x14ac:dyDescent="0.25">
      <c r="A77" s="89" t="s">
        <v>62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1">
        <f t="shared" ref="N77:N80" si="10">SUM(B77:M77)</f>
      </c>
    </row>
    <row r="78" spans="1:14" x14ac:dyDescent="0.25">
      <c r="A78" s="89" t="s">
        <v>63</v>
      </c>
      <c r="B78" s="90">
        <v>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1">
        <f t="shared" si="10"/>
      </c>
    </row>
    <row r="79" spans="1:14" x14ac:dyDescent="0.25">
      <c r="A79" s="89" t="s">
        <v>64</v>
      </c>
      <c r="B79" s="90">
        <v>0</v>
      </c>
      <c r="C79" s="90">
        <v>0</v>
      </c>
      <c r="D79" s="90">
        <v>0</v>
      </c>
      <c r="E79" s="90">
        <v>0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1">
        <f t="shared" si="10"/>
      </c>
    </row>
    <row r="80" spans="1:14" x14ac:dyDescent="0.25">
      <c r="A80" s="98" t="s">
        <v>37</v>
      </c>
      <c r="B80" s="99">
        <v>0</v>
      </c>
      <c r="C80" s="99">
        <v>0</v>
      </c>
      <c r="D80" s="99">
        <v>0</v>
      </c>
      <c r="E80" s="99">
        <v>0</v>
      </c>
      <c r="F80" s="99">
        <v>0</v>
      </c>
      <c r="G80" s="99">
        <v>0</v>
      </c>
      <c r="H80" s="99">
        <v>0</v>
      </c>
      <c r="I80" s="99">
        <v>0</v>
      </c>
      <c r="J80" s="99">
        <v>0</v>
      </c>
      <c r="K80" s="99">
        <v>0</v>
      </c>
      <c r="L80" s="99">
        <v>0</v>
      </c>
      <c r="M80" s="99">
        <v>0</v>
      </c>
      <c r="N80" s="91">
        <f t="shared" si="10"/>
      </c>
    </row>
    <row r="81" spans="1:14" x14ac:dyDescent="0.25">
      <c r="A81" s="100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94"/>
    </row>
    <row r="82" spans="1:14" x14ac:dyDescent="0.25">
      <c r="A82" s="96" t="s">
        <v>65</v>
      </c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5"/>
    </row>
    <row r="83" spans="1:14" x14ac:dyDescent="0.25">
      <c r="A83" s="89" t="s">
        <v>66</v>
      </c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1">
        <f t="shared" ref="N83:N88" si="11">SUM(B83:M83)</f>
      </c>
    </row>
    <row r="84" spans="1:14" x14ac:dyDescent="0.25">
      <c r="A84" s="89" t="s">
        <v>67</v>
      </c>
      <c r="B84" s="90">
        <v>0</v>
      </c>
      <c r="C84" s="90">
        <v>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  <c r="I84" s="90">
        <v>0</v>
      </c>
      <c r="J84" s="90">
        <v>0</v>
      </c>
      <c r="K84" s="90">
        <v>0</v>
      </c>
      <c r="L84" s="90">
        <v>0</v>
      </c>
      <c r="M84" s="90">
        <v>0</v>
      </c>
      <c r="N84" s="91">
        <f t="shared" si="11"/>
      </c>
    </row>
    <row r="85" spans="1:14" x14ac:dyDescent="0.25">
      <c r="A85" s="89" t="s">
        <v>68</v>
      </c>
      <c r="B85" s="90">
        <v>0</v>
      </c>
      <c r="C85" s="90">
        <v>0</v>
      </c>
      <c r="D85" s="90">
        <v>0</v>
      </c>
      <c r="E85" s="90">
        <v>0</v>
      </c>
      <c r="F85" s="90">
        <v>0</v>
      </c>
      <c r="G85" s="90">
        <v>0</v>
      </c>
      <c r="H85" s="90">
        <v>0</v>
      </c>
      <c r="I85" s="90">
        <v>0</v>
      </c>
      <c r="J85" s="90">
        <v>0</v>
      </c>
      <c r="K85" s="90">
        <v>0</v>
      </c>
      <c r="L85" s="90">
        <v>0</v>
      </c>
      <c r="M85" s="90">
        <v>0</v>
      </c>
      <c r="N85" s="91">
        <f t="shared" si="11"/>
      </c>
    </row>
    <row r="86" spans="1:14" x14ac:dyDescent="0.25">
      <c r="A86" s="89" t="s">
        <v>69</v>
      </c>
      <c r="B86" s="90">
        <v>0</v>
      </c>
      <c r="C86" s="90">
        <v>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  <c r="I86" s="90">
        <v>0</v>
      </c>
      <c r="J86" s="90">
        <v>0</v>
      </c>
      <c r="K86" s="90">
        <v>0</v>
      </c>
      <c r="L86" s="90">
        <v>0</v>
      </c>
      <c r="M86" s="90">
        <v>0</v>
      </c>
      <c r="N86" s="91">
        <f t="shared" si="11"/>
      </c>
    </row>
    <row r="87" spans="1:14" x14ac:dyDescent="0.25">
      <c r="A87" s="89" t="s">
        <v>70</v>
      </c>
      <c r="B87" s="90">
        <v>0</v>
      </c>
      <c r="C87" s="90">
        <v>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  <c r="I87" s="90">
        <v>0</v>
      </c>
      <c r="J87" s="90">
        <v>0</v>
      </c>
      <c r="K87" s="90">
        <v>0</v>
      </c>
      <c r="L87" s="90">
        <v>0</v>
      </c>
      <c r="M87" s="90">
        <v>0</v>
      </c>
      <c r="N87" s="91">
        <f t="shared" si="11"/>
      </c>
    </row>
    <row r="88" spans="1:14" x14ac:dyDescent="0.25">
      <c r="A88" s="98" t="s">
        <v>44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1">
        <f t="shared" si="11"/>
      </c>
    </row>
    <row r="89" spans="1:14" x14ac:dyDescent="0.25">
      <c r="A89" s="103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94"/>
    </row>
    <row r="90" spans="1:14" x14ac:dyDescent="0.25">
      <c r="A90" s="86" t="s">
        <v>71</v>
      </c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95"/>
    </row>
    <row r="91" spans="1:14" x14ac:dyDescent="0.25">
      <c r="A91" s="96" t="s">
        <v>72</v>
      </c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5"/>
    </row>
    <row r="92" spans="1:14" x14ac:dyDescent="0.25">
      <c r="A92" s="89" t="s">
        <v>73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1">
        <f t="shared" ref="N92:N99" si="12">SUM(B92:M92)</f>
      </c>
    </row>
    <row r="93" spans="1:14" x14ac:dyDescent="0.25">
      <c r="A93" s="89" t="s">
        <v>74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1">
        <f t="shared" si="12"/>
      </c>
    </row>
    <row r="94" spans="1:14" x14ac:dyDescent="0.25">
      <c r="A94" s="89" t="s">
        <v>75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1">
        <f t="shared" si="12"/>
      </c>
    </row>
    <row r="95" spans="1:14" x14ac:dyDescent="0.25">
      <c r="A95" s="89" t="s">
        <v>76</v>
      </c>
      <c r="B95" s="90">
        <v>0</v>
      </c>
      <c r="C95" s="90">
        <v>0</v>
      </c>
      <c r="D95" s="90">
        <v>0</v>
      </c>
      <c r="E95" s="90">
        <v>0</v>
      </c>
      <c r="F95" s="90">
        <v>0</v>
      </c>
      <c r="G95" s="90">
        <v>1</v>
      </c>
      <c r="H95" s="90">
        <v>0</v>
      </c>
      <c r="I95" s="90">
        <v>0</v>
      </c>
      <c r="J95" s="90">
        <v>0</v>
      </c>
      <c r="K95" s="90">
        <v>0</v>
      </c>
      <c r="L95" s="90">
        <v>0</v>
      </c>
      <c r="M95" s="90">
        <v>0</v>
      </c>
      <c r="N95" s="91">
        <f t="shared" si="12"/>
      </c>
    </row>
    <row r="96" spans="1:14" x14ac:dyDescent="0.25">
      <c r="A96" s="89" t="s">
        <v>77</v>
      </c>
      <c r="B96" s="90">
        <v>0</v>
      </c>
      <c r="C96" s="90">
        <v>0</v>
      </c>
      <c r="D96" s="90">
        <v>0</v>
      </c>
      <c r="E96" s="90">
        <v>0</v>
      </c>
      <c r="F96" s="90">
        <v>0</v>
      </c>
      <c r="G96" s="90">
        <v>5</v>
      </c>
      <c r="H96" s="90">
        <v>0</v>
      </c>
      <c r="I96" s="90">
        <v>0</v>
      </c>
      <c r="J96" s="90">
        <v>0</v>
      </c>
      <c r="K96" s="90">
        <v>0</v>
      </c>
      <c r="L96" s="90">
        <v>0</v>
      </c>
      <c r="M96" s="90">
        <v>0</v>
      </c>
      <c r="N96" s="91">
        <f t="shared" si="12"/>
      </c>
    </row>
    <row r="97" spans="1:14" x14ac:dyDescent="0.25">
      <c r="A97" s="89" t="s">
        <v>78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1">
        <f t="shared" si="12"/>
      </c>
    </row>
    <row r="98" spans="1:14" x14ac:dyDescent="0.25">
      <c r="A98" s="89" t="s">
        <v>79</v>
      </c>
      <c r="B98" s="90">
        <v>0</v>
      </c>
      <c r="C98" s="90">
        <v>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  <c r="I98" s="90">
        <v>0</v>
      </c>
      <c r="J98" s="90">
        <v>0</v>
      </c>
      <c r="K98" s="90">
        <v>0</v>
      </c>
      <c r="L98" s="90">
        <v>0</v>
      </c>
      <c r="M98" s="90">
        <v>0</v>
      </c>
      <c r="N98" s="91">
        <f t="shared" si="12"/>
      </c>
    </row>
    <row r="99" spans="1:14" x14ac:dyDescent="0.25">
      <c r="A99" s="98" t="s">
        <v>37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1">
        <f t="shared" si="12"/>
      </c>
    </row>
    <row r="100" spans="1:14" x14ac:dyDescent="0.25">
      <c r="A100" s="100"/>
      <c r="B100" s="101">
        <v>0</v>
      </c>
      <c r="C100" s="101">
        <v>0</v>
      </c>
      <c r="D100" s="101">
        <v>0</v>
      </c>
      <c r="E100" s="101">
        <v>0</v>
      </c>
      <c r="F100" s="101">
        <v>0</v>
      </c>
      <c r="G100" s="101">
        <v>0</v>
      </c>
      <c r="H100" s="101">
        <v>0</v>
      </c>
      <c r="I100" s="101">
        <v>0</v>
      </c>
      <c r="J100" s="101">
        <v>0</v>
      </c>
      <c r="K100" s="101">
        <v>0</v>
      </c>
      <c r="L100" s="101">
        <v>0</v>
      </c>
      <c r="M100" s="101">
        <v>0</v>
      </c>
      <c r="N100" s="94"/>
    </row>
    <row r="101" spans="1:14" x14ac:dyDescent="0.25">
      <c r="A101" s="96" t="s">
        <v>80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5"/>
    </row>
    <row r="102" spans="1:14" x14ac:dyDescent="0.25">
      <c r="A102" s="89" t="s">
        <v>81</v>
      </c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1">
        <f t="shared" ref="N102:N108" si="13">SUM(B102:M102)</f>
      </c>
    </row>
    <row r="103" spans="1:14" x14ac:dyDescent="0.25">
      <c r="A103" s="89" t="s">
        <v>82</v>
      </c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1">
        <f t="shared" si="13"/>
      </c>
    </row>
    <row r="104" spans="1:14" x14ac:dyDescent="0.25">
      <c r="A104" s="89" t="s">
        <v>83</v>
      </c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1">
        <f t="shared" si="13"/>
      </c>
    </row>
    <row r="105" spans="1:14" x14ac:dyDescent="0.25">
      <c r="A105" s="89" t="s">
        <v>84</v>
      </c>
      <c r="B105" s="90">
        <v>0</v>
      </c>
      <c r="C105" s="90">
        <v>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  <c r="I105" s="90">
        <v>0</v>
      </c>
      <c r="J105" s="90">
        <v>0</v>
      </c>
      <c r="K105" s="90">
        <v>0</v>
      </c>
      <c r="L105" s="90">
        <v>0</v>
      </c>
      <c r="M105" s="90">
        <v>0</v>
      </c>
      <c r="N105" s="91">
        <f t="shared" si="13"/>
      </c>
    </row>
    <row r="106" spans="1:14" x14ac:dyDescent="0.25">
      <c r="A106" s="89" t="s">
        <v>85</v>
      </c>
      <c r="B106" s="90">
        <v>0</v>
      </c>
      <c r="C106" s="90">
        <v>0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  <c r="I106" s="90">
        <v>0</v>
      </c>
      <c r="J106" s="90">
        <v>0</v>
      </c>
      <c r="K106" s="90">
        <v>0</v>
      </c>
      <c r="L106" s="90">
        <v>0</v>
      </c>
      <c r="M106" s="90">
        <v>0</v>
      </c>
      <c r="N106" s="91">
        <f t="shared" si="13"/>
      </c>
    </row>
    <row r="107" spans="1:14" x14ac:dyDescent="0.25">
      <c r="A107" s="89" t="s">
        <v>86</v>
      </c>
      <c r="B107" s="90">
        <v>0</v>
      </c>
      <c r="C107" s="90">
        <v>0</v>
      </c>
      <c r="D107" s="90">
        <v>0</v>
      </c>
      <c r="E107" s="90">
        <v>0</v>
      </c>
      <c r="F107" s="90">
        <v>0</v>
      </c>
      <c r="G107" s="90">
        <v>0</v>
      </c>
      <c r="H107" s="90">
        <v>0</v>
      </c>
      <c r="I107" s="90">
        <v>0</v>
      </c>
      <c r="J107" s="90">
        <v>0</v>
      </c>
      <c r="K107" s="90">
        <v>0</v>
      </c>
      <c r="L107" s="90">
        <v>0</v>
      </c>
      <c r="M107" s="90">
        <v>0</v>
      </c>
      <c r="N107" s="91">
        <f t="shared" si="13"/>
      </c>
    </row>
    <row r="108" spans="1:14" x14ac:dyDescent="0.25">
      <c r="A108" s="98" t="s">
        <v>37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1">
        <f t="shared" si="13"/>
      </c>
    </row>
    <row r="109" spans="1:14" x14ac:dyDescent="0.25">
      <c r="A109" s="100"/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94"/>
    </row>
    <row r="110" spans="1:14" x14ac:dyDescent="0.25">
      <c r="A110" s="96" t="s">
        <v>87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5"/>
    </row>
    <row r="111" spans="1:14" x14ac:dyDescent="0.25">
      <c r="A111" s="89" t="s">
        <v>88</v>
      </c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1">
        <f t="shared" ref="N111:N116" si="14">SUM(B111:M111)</f>
      </c>
    </row>
    <row r="112" spans="1:14" x14ac:dyDescent="0.25">
      <c r="A112" s="89" t="s">
        <v>89</v>
      </c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1">
        <f t="shared" si="14"/>
      </c>
    </row>
    <row r="113" spans="1:14" x14ac:dyDescent="0.25">
      <c r="A113" s="89" t="s">
        <v>90</v>
      </c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1">
        <f t="shared" si="14"/>
      </c>
    </row>
    <row r="114" spans="1:14" x14ac:dyDescent="0.25">
      <c r="A114" s="89" t="s">
        <v>91</v>
      </c>
      <c r="B114" s="90">
        <v>0</v>
      </c>
      <c r="C114" s="90">
        <v>0</v>
      </c>
      <c r="D114" s="90">
        <v>0</v>
      </c>
      <c r="E114" s="90">
        <v>0</v>
      </c>
      <c r="F114" s="90">
        <v>0</v>
      </c>
      <c r="G114" s="90">
        <v>0</v>
      </c>
      <c r="H114" s="90">
        <v>0</v>
      </c>
      <c r="I114" s="90">
        <v>0</v>
      </c>
      <c r="J114" s="90">
        <v>0</v>
      </c>
      <c r="K114" s="90">
        <v>0</v>
      </c>
      <c r="L114" s="90">
        <v>0</v>
      </c>
      <c r="M114" s="90">
        <v>0</v>
      </c>
      <c r="N114" s="91">
        <f t="shared" si="14"/>
      </c>
    </row>
    <row r="115" spans="1:14" x14ac:dyDescent="0.25">
      <c r="A115" s="89" t="s">
        <v>92</v>
      </c>
      <c r="B115" s="90">
        <v>0</v>
      </c>
      <c r="C115" s="90">
        <v>0</v>
      </c>
      <c r="D115" s="90">
        <v>0</v>
      </c>
      <c r="E115" s="90">
        <v>0</v>
      </c>
      <c r="F115" s="90">
        <v>0</v>
      </c>
      <c r="G115" s="90">
        <v>0</v>
      </c>
      <c r="H115" s="90">
        <v>0</v>
      </c>
      <c r="I115" s="90">
        <v>0</v>
      </c>
      <c r="J115" s="90">
        <v>0</v>
      </c>
      <c r="K115" s="90">
        <v>0</v>
      </c>
      <c r="L115" s="90">
        <v>0</v>
      </c>
      <c r="M115" s="90">
        <v>0</v>
      </c>
      <c r="N115" s="91">
        <f t="shared" si="14"/>
      </c>
    </row>
    <row r="116" spans="1:14" x14ac:dyDescent="0.25">
      <c r="A116" s="98" t="s">
        <v>37</v>
      </c>
      <c r="B116" s="99">
        <v>0</v>
      </c>
      <c r="C116" s="99">
        <v>0</v>
      </c>
      <c r="D116" s="99">
        <v>0</v>
      </c>
      <c r="E116" s="99">
        <v>0</v>
      </c>
      <c r="F116" s="99">
        <v>0</v>
      </c>
      <c r="G116" s="99">
        <v>0</v>
      </c>
      <c r="H116" s="99">
        <v>0</v>
      </c>
      <c r="I116" s="99">
        <v>0</v>
      </c>
      <c r="J116" s="99">
        <v>0</v>
      </c>
      <c r="K116" s="99">
        <v>0</v>
      </c>
      <c r="L116" s="99">
        <v>0</v>
      </c>
      <c r="M116" s="99">
        <v>0</v>
      </c>
      <c r="N116" s="91">
        <f t="shared" si="14"/>
      </c>
    </row>
    <row r="117" spans="1:14" x14ac:dyDescent="0.25">
      <c r="A117" s="100"/>
      <c r="B117" s="101">
        <v>0</v>
      </c>
      <c r="C117" s="101">
        <v>0</v>
      </c>
      <c r="D117" s="101">
        <v>0</v>
      </c>
      <c r="E117" s="101">
        <v>0</v>
      </c>
      <c r="F117" s="101">
        <v>0</v>
      </c>
      <c r="G117" s="101">
        <v>0</v>
      </c>
      <c r="H117" s="101">
        <v>0</v>
      </c>
      <c r="I117" s="101">
        <v>0</v>
      </c>
      <c r="J117" s="101">
        <v>0</v>
      </c>
      <c r="K117" s="101">
        <v>0</v>
      </c>
      <c r="L117" s="101">
        <v>0</v>
      </c>
      <c r="M117" s="101">
        <v>0</v>
      </c>
      <c r="N117" s="94"/>
    </row>
    <row r="118" spans="1:14" x14ac:dyDescent="0.25">
      <c r="A118" s="96" t="s">
        <v>93</v>
      </c>
      <c r="B118" s="97">
        <v>0</v>
      </c>
      <c r="C118" s="97">
        <v>0</v>
      </c>
      <c r="D118" s="97">
        <v>0</v>
      </c>
      <c r="E118" s="97">
        <v>0</v>
      </c>
      <c r="F118" s="97">
        <v>0</v>
      </c>
      <c r="G118" s="97">
        <v>0</v>
      </c>
      <c r="H118" s="97">
        <v>0</v>
      </c>
      <c r="I118" s="97">
        <v>0</v>
      </c>
      <c r="J118" s="97">
        <v>0</v>
      </c>
      <c r="K118" s="97">
        <v>0</v>
      </c>
      <c r="L118" s="97">
        <v>0</v>
      </c>
      <c r="M118" s="97">
        <v>0</v>
      </c>
      <c r="N118" s="95"/>
    </row>
    <row r="119" spans="1:14" x14ac:dyDescent="0.25">
      <c r="A119" s="89" t="s">
        <v>94</v>
      </c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1">
        <f t="shared" ref="N119:N122" si="15">SUM(B119:M119)</f>
      </c>
    </row>
    <row r="120" spans="1:14" x14ac:dyDescent="0.25">
      <c r="A120" s="89" t="s">
        <v>95</v>
      </c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1">
        <f t="shared" si="15"/>
      </c>
    </row>
    <row r="121" spans="1:14" x14ac:dyDescent="0.25">
      <c r="A121" s="89" t="s">
        <v>96</v>
      </c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1">
        <f t="shared" si="15"/>
      </c>
    </row>
    <row r="122" spans="1:14" x14ac:dyDescent="0.25">
      <c r="A122" s="98" t="s">
        <v>37</v>
      </c>
      <c r="B122" s="99">
        <v>0</v>
      </c>
      <c r="C122" s="99">
        <v>0</v>
      </c>
      <c r="D122" s="99">
        <v>0</v>
      </c>
      <c r="E122" s="99">
        <v>0</v>
      </c>
      <c r="F122" s="99">
        <v>0</v>
      </c>
      <c r="G122" s="99">
        <v>0</v>
      </c>
      <c r="H122" s="99">
        <v>0</v>
      </c>
      <c r="I122" s="99">
        <v>0</v>
      </c>
      <c r="J122" s="99">
        <v>0</v>
      </c>
      <c r="K122" s="99">
        <v>0</v>
      </c>
      <c r="L122" s="99">
        <v>0</v>
      </c>
      <c r="M122" s="99">
        <v>0</v>
      </c>
      <c r="N122" s="91">
        <f t="shared" si="15"/>
      </c>
    </row>
    <row r="123" spans="1:14" x14ac:dyDescent="0.25">
      <c r="A123" s="100"/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94"/>
    </row>
    <row r="124" spans="1:14" x14ac:dyDescent="0.25">
      <c r="A124" s="86" t="s">
        <v>97</v>
      </c>
      <c r="B124" s="87">
        <v>0</v>
      </c>
      <c r="C124" s="87">
        <v>0</v>
      </c>
      <c r="D124" s="87">
        <v>0</v>
      </c>
      <c r="E124" s="87">
        <v>0</v>
      </c>
      <c r="F124" s="87">
        <v>0</v>
      </c>
      <c r="G124" s="87">
        <v>0</v>
      </c>
      <c r="H124" s="87">
        <v>0</v>
      </c>
      <c r="I124" s="87">
        <v>0</v>
      </c>
      <c r="J124" s="87">
        <v>0</v>
      </c>
      <c r="K124" s="87">
        <v>0</v>
      </c>
      <c r="L124" s="87">
        <v>0</v>
      </c>
      <c r="M124" s="87">
        <v>0</v>
      </c>
      <c r="N124" s="95"/>
    </row>
    <row r="125" spans="1:14" x14ac:dyDescent="0.25">
      <c r="A125" s="89" t="s">
        <v>98</v>
      </c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1">
        <f t="shared" ref="N125:N130" si="16">SUM(B125:M125)</f>
      </c>
    </row>
    <row r="126" spans="1:14" x14ac:dyDescent="0.25">
      <c r="A126" s="89" t="s">
        <v>99</v>
      </c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1">
        <f t="shared" si="16"/>
      </c>
    </row>
    <row r="127" spans="1:14" x14ac:dyDescent="0.25">
      <c r="A127" s="89" t="s">
        <v>100</v>
      </c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1">
        <f t="shared" si="16"/>
      </c>
    </row>
    <row r="128" spans="1:14" x14ac:dyDescent="0.25">
      <c r="A128" s="89" t="s">
        <v>101</v>
      </c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1">
        <f t="shared" si="16"/>
      </c>
    </row>
    <row r="129" spans="1:14" x14ac:dyDescent="0.25">
      <c r="A129" s="89" t="s">
        <v>102</v>
      </c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1">
        <f t="shared" si="16"/>
      </c>
    </row>
    <row r="130" spans="1:14" x14ac:dyDescent="0.25">
      <c r="A130" s="98" t="s">
        <v>37</v>
      </c>
      <c r="B130" s="99">
        <f>SUM(B125:B129)</f>
      </c>
      <c r="C130" s="99">
        <f t="shared" ref="C130:M130" si="17">SUM(C125:C129)</f>
      </c>
      <c r="D130" s="99">
        <f t="shared" si="17"/>
      </c>
      <c r="E130" s="99">
        <f t="shared" si="17"/>
      </c>
      <c r="F130" s="99">
        <f t="shared" si="17"/>
      </c>
      <c r="G130" s="99">
        <f t="shared" si="17"/>
      </c>
      <c r="H130" s="99">
        <f t="shared" si="17"/>
      </c>
      <c r="I130" s="99">
        <f t="shared" si="17"/>
      </c>
      <c r="J130" s="99">
        <f t="shared" si="17"/>
      </c>
      <c r="K130" s="99">
        <f t="shared" si="17"/>
      </c>
      <c r="L130" s="99">
        <f t="shared" si="17"/>
      </c>
      <c r="M130" s="99">
        <f t="shared" si="17"/>
      </c>
      <c r="N130" s="91">
        <f t="shared" si="16"/>
      </c>
    </row>
    <row r="131" spans="1:14" x14ac:dyDescent="0.25">
      <c r="A131" s="102"/>
      <c r="B131" s="101">
        <v>0</v>
      </c>
      <c r="C131" s="101">
        <v>0</v>
      </c>
      <c r="D131" s="101">
        <v>0</v>
      </c>
      <c r="E131" s="101">
        <v>0</v>
      </c>
      <c r="F131" s="101">
        <v>0</v>
      </c>
      <c r="G131" s="101">
        <v>0</v>
      </c>
      <c r="H131" s="101">
        <v>0</v>
      </c>
      <c r="I131" s="101">
        <v>0</v>
      </c>
      <c r="J131" s="101">
        <v>0</v>
      </c>
      <c r="K131" s="101">
        <v>0</v>
      </c>
      <c r="L131" s="101">
        <v>0</v>
      </c>
      <c r="M131" s="101">
        <v>0</v>
      </c>
      <c r="N131" s="94"/>
    </row>
    <row r="132" spans="1:14" x14ac:dyDescent="0.25">
      <c r="A132" s="81" t="s">
        <v>18</v>
      </c>
      <c r="B132" s="67">
        <v>0</v>
      </c>
      <c r="C132" s="67">
        <v>0</v>
      </c>
      <c r="D132" s="67">
        <v>0</v>
      </c>
      <c r="E132" s="67">
        <v>0</v>
      </c>
      <c r="F132" s="67">
        <v>0</v>
      </c>
      <c r="G132" s="67">
        <v>0</v>
      </c>
      <c r="H132" s="67">
        <v>0</v>
      </c>
      <c r="I132" s="67">
        <v>0</v>
      </c>
      <c r="J132" s="67">
        <v>0</v>
      </c>
      <c r="K132" s="67">
        <v>0</v>
      </c>
      <c r="L132" s="67">
        <v>0</v>
      </c>
      <c r="M132" s="67">
        <v>0</v>
      </c>
      <c r="N132" s="83"/>
    </row>
    <row r="133" spans="1:14" x14ac:dyDescent="0.25">
      <c r="A133" s="93"/>
      <c r="B133" s="75">
        <v>0</v>
      </c>
      <c r="C133" s="75">
        <v>0</v>
      </c>
      <c r="D133" s="75">
        <v>0</v>
      </c>
      <c r="E133" s="75">
        <v>0</v>
      </c>
      <c r="F133" s="75">
        <v>0</v>
      </c>
      <c r="G133" s="75">
        <v>0</v>
      </c>
      <c r="H133" s="75">
        <v>0</v>
      </c>
      <c r="I133" s="75">
        <v>0</v>
      </c>
      <c r="J133" s="75">
        <v>0</v>
      </c>
      <c r="K133" s="75">
        <v>0</v>
      </c>
      <c r="L133" s="75">
        <v>0</v>
      </c>
      <c r="M133" s="75">
        <v>0</v>
      </c>
      <c r="N133" s="105"/>
    </row>
    <row r="134" spans="1:14" x14ac:dyDescent="0.25">
      <c r="A134" s="86" t="s">
        <v>103</v>
      </c>
      <c r="B134" s="87">
        <v>0</v>
      </c>
      <c r="C134" s="87">
        <v>0</v>
      </c>
      <c r="D134" s="87">
        <v>0</v>
      </c>
      <c r="E134" s="87">
        <v>0</v>
      </c>
      <c r="F134" s="87">
        <v>0</v>
      </c>
      <c r="G134" s="87">
        <v>0</v>
      </c>
      <c r="H134" s="87">
        <v>0</v>
      </c>
      <c r="I134" s="87">
        <v>0</v>
      </c>
      <c r="J134" s="87">
        <v>0</v>
      </c>
      <c r="K134" s="87">
        <v>0</v>
      </c>
      <c r="L134" s="87">
        <v>0</v>
      </c>
      <c r="M134" s="87">
        <v>0</v>
      </c>
      <c r="N134" s="95"/>
    </row>
    <row r="135" spans="1:14" x14ac:dyDescent="0.25">
      <c r="A135" s="89" t="s">
        <v>104</v>
      </c>
      <c r="B135" s="90">
        <v>0</v>
      </c>
      <c r="C135" s="90">
        <v>0</v>
      </c>
      <c r="D135" s="90">
        <v>0</v>
      </c>
      <c r="E135" s="90">
        <v>0</v>
      </c>
      <c r="F135" s="90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1">
        <f t="shared" ref="N135:N137" si="18">SUM(B135:M135)</f>
      </c>
    </row>
    <row r="136" spans="1:14" x14ac:dyDescent="0.25">
      <c r="A136" s="89" t="s">
        <v>105</v>
      </c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1">
        <f t="shared" si="18"/>
      </c>
    </row>
    <row r="137" spans="1:14" x14ac:dyDescent="0.25">
      <c r="A137" s="98" t="s">
        <v>37</v>
      </c>
      <c r="B137" s="99">
        <f>SUM(B135:B136)</f>
      </c>
      <c r="C137" s="99">
        <f t="shared" ref="C137:M137" si="19">SUM(C135:C136)</f>
      </c>
      <c r="D137" s="99">
        <f t="shared" si="19"/>
      </c>
      <c r="E137" s="99">
        <f t="shared" si="19"/>
      </c>
      <c r="F137" s="99">
        <f t="shared" si="19"/>
      </c>
      <c r="G137" s="99">
        <f t="shared" si="19"/>
      </c>
      <c r="H137" s="99">
        <f t="shared" si="19"/>
      </c>
      <c r="I137" s="99">
        <f t="shared" si="19"/>
      </c>
      <c r="J137" s="99">
        <f t="shared" si="19"/>
      </c>
      <c r="K137" s="99">
        <f t="shared" si="19"/>
      </c>
      <c r="L137" s="99">
        <f t="shared" si="19"/>
      </c>
      <c r="M137" s="99">
        <f t="shared" si="19"/>
      </c>
      <c r="N137" s="91">
        <f t="shared" si="18"/>
      </c>
    </row>
    <row r="138" spans="1:14" x14ac:dyDescent="0.25">
      <c r="A138" s="103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94"/>
    </row>
    <row r="139" spans="1:14" x14ac:dyDescent="0.25">
      <c r="A139" s="96" t="s">
        <v>106</v>
      </c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1"/>
    </row>
    <row r="140" spans="1:14" x14ac:dyDescent="0.25">
      <c r="A140" s="96" t="s">
        <v>107</v>
      </c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91">
        <f t="shared" ref="N140" si="20">SUM(B140:M140)</f>
      </c>
    </row>
    <row r="141" spans="1:14" x14ac:dyDescent="0.25">
      <c r="A141" s="93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94"/>
    </row>
    <row r="142" spans="1:14" x14ac:dyDescent="0.25">
      <c r="A142" s="92" t="s">
        <v>108</v>
      </c>
      <c r="B142" s="43">
        <v>0</v>
      </c>
      <c r="C142" s="43">
        <v>0</v>
      </c>
      <c r="D142" s="43">
        <v>0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91">
        <f t="shared" ref="N142" si="21">SUM(B142:M142)</f>
      </c>
    </row>
    <row r="143" spans="1:14" x14ac:dyDescent="0.25">
      <c r="A143" s="103"/>
      <c r="B143" s="104">
        <v>0</v>
      </c>
      <c r="C143" s="104">
        <v>0</v>
      </c>
      <c r="D143" s="104">
        <v>0</v>
      </c>
      <c r="E143" s="104">
        <v>0</v>
      </c>
      <c r="F143" s="104">
        <v>0</v>
      </c>
      <c r="G143" s="104">
        <v>0</v>
      </c>
      <c r="H143" s="104">
        <v>0</v>
      </c>
      <c r="I143" s="104">
        <v>0</v>
      </c>
      <c r="J143" s="104">
        <v>0</v>
      </c>
      <c r="K143" s="104">
        <v>0</v>
      </c>
      <c r="L143" s="104">
        <v>0</v>
      </c>
      <c r="M143" s="104">
        <v>0</v>
      </c>
      <c r="N143" s="94"/>
    </row>
    <row r="144" spans="1:14" x14ac:dyDescent="0.25">
      <c r="A144" s="96" t="s">
        <v>109</v>
      </c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91">
        <f t="shared" ref="N144" si="22">SUM(B144:M144)</f>
      </c>
    </row>
    <row r="145" spans="1:14" x14ac:dyDescent="0.25">
      <c r="A145" s="93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107"/>
    </row>
    <row r="146" spans="1:14" x14ac:dyDescent="0.25">
      <c r="A146" s="108" t="s">
        <v>110</v>
      </c>
      <c r="B146" s="40">
        <f>SUM(B147:B149)</f>
      </c>
      <c r="C146" s="40">
        <f t="shared" ref="C146:M146" si="23">SUM(C147:C149)</f>
      </c>
      <c r="D146" s="40">
        <f t="shared" si="23"/>
      </c>
      <c r="E146" s="40">
        <f t="shared" si="23"/>
      </c>
      <c r="F146" s="40">
        <f t="shared" si="23"/>
      </c>
      <c r="G146" s="40">
        <f t="shared" si="23"/>
      </c>
      <c r="H146" s="40">
        <f t="shared" si="23"/>
      </c>
      <c r="I146" s="40">
        <f t="shared" si="23"/>
      </c>
      <c r="J146" s="40">
        <f t="shared" si="23"/>
      </c>
      <c r="K146" s="40">
        <f t="shared" si="23"/>
      </c>
      <c r="L146" s="40">
        <f t="shared" si="23"/>
      </c>
      <c r="M146" s="40">
        <f t="shared" si="23"/>
      </c>
      <c r="N146" s="91">
        <f t="shared" ref="N146:N150" si="24">SUM(B146:M146)</f>
      </c>
    </row>
    <row r="147" spans="1:14" x14ac:dyDescent="0.25">
      <c r="A147" s="109" t="s">
        <v>111</v>
      </c>
      <c r="B147" s="43">
        <f>B30</f>
      </c>
      <c r="C147" s="43">
        <f t="shared" ref="C147:M147" si="25">C30</f>
      </c>
      <c r="D147" s="43">
        <f t="shared" si="25"/>
      </c>
      <c r="E147" s="43">
        <f t="shared" si="25"/>
      </c>
      <c r="F147" s="43">
        <f t="shared" si="25"/>
      </c>
      <c r="G147" s="43">
        <f t="shared" si="25"/>
      </c>
      <c r="H147" s="43">
        <f t="shared" si="25"/>
      </c>
      <c r="I147" s="43">
        <f t="shared" si="25"/>
      </c>
      <c r="J147" s="43">
        <f t="shared" si="25"/>
      </c>
      <c r="K147" s="43">
        <f t="shared" si="25"/>
      </c>
      <c r="L147" s="43">
        <f t="shared" si="25"/>
      </c>
      <c r="M147" s="43">
        <f t="shared" si="25"/>
      </c>
      <c r="N147" s="91">
        <f t="shared" si="24"/>
      </c>
    </row>
    <row r="148" spans="1:14" x14ac:dyDescent="0.25">
      <c r="A148" s="109" t="s">
        <v>112</v>
      </c>
      <c r="B148" s="43">
        <v>0</v>
      </c>
      <c r="C148" s="43">
        <v>0</v>
      </c>
      <c r="D148" s="43">
        <v>0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91">
        <f t="shared" si="24"/>
      </c>
    </row>
    <row r="149" spans="1:14" x14ac:dyDescent="0.25">
      <c r="A149" s="109" t="s">
        <v>113</v>
      </c>
      <c r="B149" s="43">
        <f>B144</f>
      </c>
      <c r="C149" s="43">
        <f t="shared" ref="C149:M149" si="26">C144</f>
      </c>
      <c r="D149" s="43">
        <f t="shared" si="26"/>
      </c>
      <c r="E149" s="43">
        <f t="shared" si="26"/>
      </c>
      <c r="F149" s="43">
        <f t="shared" si="26"/>
      </c>
      <c r="G149" s="43">
        <f t="shared" si="26"/>
      </c>
      <c r="H149" s="43">
        <f t="shared" si="26"/>
      </c>
      <c r="I149" s="43">
        <f t="shared" si="26"/>
      </c>
      <c r="J149" s="43">
        <f t="shared" si="26"/>
      </c>
      <c r="K149" s="43">
        <f t="shared" si="26"/>
      </c>
      <c r="L149" s="43">
        <f t="shared" si="26"/>
      </c>
      <c r="M149" s="43">
        <f t="shared" si="26"/>
      </c>
      <c r="N149" s="91">
        <f t="shared" si="24"/>
      </c>
    </row>
    <row r="150" spans="1:14" x14ac:dyDescent="0.25">
      <c r="A150" s="109" t="s">
        <v>114</v>
      </c>
      <c r="B150" s="43">
        <f>B140</f>
      </c>
      <c r="C150" s="43">
        <f t="shared" ref="C150:M150" si="27">C140</f>
      </c>
      <c r="D150" s="43">
        <f t="shared" si="27"/>
      </c>
      <c r="E150" s="43">
        <f t="shared" si="27"/>
      </c>
      <c r="F150" s="43">
        <f t="shared" si="27"/>
      </c>
      <c r="G150" s="43">
        <f t="shared" si="27"/>
      </c>
      <c r="H150" s="43">
        <f t="shared" si="27"/>
      </c>
      <c r="I150" s="43">
        <f t="shared" si="27"/>
      </c>
      <c r="J150" s="43">
        <f t="shared" si="27"/>
      </c>
      <c r="K150" s="43">
        <f t="shared" si="27"/>
      </c>
      <c r="L150" s="43">
        <f t="shared" si="27"/>
      </c>
      <c r="M150" s="43">
        <f t="shared" si="27"/>
      </c>
      <c r="N150" s="91">
        <f t="shared" si="24"/>
      </c>
    </row>
    <row r="151" spans="1:14" x14ac:dyDescent="0.25">
      <c r="A151" s="52"/>
      <c r="B151" s="49">
        <v>0</v>
      </c>
      <c r="C151" s="49">
        <v>0</v>
      </c>
      <c r="D151" s="49">
        <v>0</v>
      </c>
      <c r="E151" s="49">
        <v>0</v>
      </c>
      <c r="F151" s="49">
        <v>0</v>
      </c>
      <c r="G151" s="49">
        <v>0</v>
      </c>
      <c r="H151" s="49">
        <v>0</v>
      </c>
      <c r="I151" s="49">
        <v>0</v>
      </c>
      <c r="J151" s="49">
        <v>0</v>
      </c>
      <c r="K151" s="49">
        <v>0</v>
      </c>
      <c r="L151" s="49">
        <v>0</v>
      </c>
      <c r="M151" s="49">
        <v>0</v>
      </c>
      <c r="N151" s="110"/>
    </row>
    <row r="152" ht="15.6" customHeight="1" spans="1:14" x14ac:dyDescent="0.25">
      <c r="A152" s="46" t="s">
        <v>115</v>
      </c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91"/>
    </row>
    <row r="153" ht="15.6" customHeight="1" spans="1:14" x14ac:dyDescent="0.25">
      <c r="A153" s="46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91"/>
    </row>
    <row r="154" ht="15.6" customHeight="1" spans="1:14" x14ac:dyDescent="0.25">
      <c r="A154" s="112" t="s">
        <v>116</v>
      </c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113"/>
    </row>
    <row r="155" spans="1:14" x14ac:dyDescent="0.25">
      <c r="A155" s="114" t="s">
        <v>117</v>
      </c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91">
        <f t="shared" ref="N155:N157" si="28">SUM(B155:M155)</f>
      </c>
    </row>
    <row r="156" spans="1:14" x14ac:dyDescent="0.25">
      <c r="A156" s="114" t="s">
        <v>118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91">
        <f t="shared" si="28"/>
      </c>
    </row>
    <row r="157" spans="1:14" x14ac:dyDescent="0.25">
      <c r="A157" s="114" t="s">
        <v>119</v>
      </c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91">
        <f t="shared" si="28"/>
      </c>
    </row>
    <row r="158" ht="15.6" customHeight="1" spans="1:14" x14ac:dyDescent="0.25">
      <c r="A158" s="115" t="s">
        <v>120</v>
      </c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94"/>
    </row>
    <row r="159" spans="1:14" x14ac:dyDescent="0.25">
      <c r="A159" s="114" t="s">
        <v>121</v>
      </c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116" t="e">
        <f>AVERAGE(B159:M159)</f>
        <v>#DIV/0!</v>
      </c>
    </row>
    <row r="160" spans="1:14" x14ac:dyDescent="0.25">
      <c r="A160" s="114" t="s">
        <v>122</v>
      </c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116" t="e">
        <f>AVERAGE(B160:M160)</f>
        <v>#DIV/0!</v>
      </c>
    </row>
    <row r="161" ht="15.6" customHeight="1" spans="1:14" x14ac:dyDescent="0.25">
      <c r="A161" s="112" t="s">
        <v>123</v>
      </c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113"/>
    </row>
    <row r="162" spans="1:14" x14ac:dyDescent="0.25">
      <c r="A162" s="117" t="s">
        <v>124</v>
      </c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116"/>
    </row>
    <row r="163" spans="1:14" x14ac:dyDescent="0.25">
      <c r="A163" s="114" t="s">
        <v>125</v>
      </c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91">
        <f t="shared" ref="N163:N167" si="29">SUM(B163:M163)</f>
      </c>
    </row>
    <row r="164" spans="1:14" x14ac:dyDescent="0.25">
      <c r="A164" s="114" t="s">
        <v>126</v>
      </c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91">
        <f t="shared" si="29"/>
      </c>
    </row>
    <row r="165" spans="1:14" x14ac:dyDescent="0.25">
      <c r="A165" s="114" t="s">
        <v>127</v>
      </c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91">
        <f t="shared" si="29"/>
      </c>
    </row>
    <row r="166" spans="1:14" x14ac:dyDescent="0.25">
      <c r="A166" s="114" t="s">
        <v>128</v>
      </c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91">
        <f t="shared" si="29"/>
      </c>
    </row>
    <row r="167" spans="1:14" x14ac:dyDescent="0.25">
      <c r="A167" s="114" t="s">
        <v>131</v>
      </c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91">
        <f t="shared" si="29"/>
      </c>
    </row>
    <row r="168" spans="1:14" x14ac:dyDescent="0.25">
      <c r="A168" s="117" t="s">
        <v>134</v>
      </c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116"/>
    </row>
    <row r="169" spans="1:14" x14ac:dyDescent="0.25">
      <c r="A169" s="114" t="s">
        <v>125</v>
      </c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91">
        <f t="shared" ref="N169:N173" si="30">SUM(B169:M169)</f>
      </c>
    </row>
    <row r="170" spans="1:14" x14ac:dyDescent="0.25">
      <c r="A170" s="114" t="s">
        <v>126</v>
      </c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91">
        <f t="shared" si="30"/>
      </c>
    </row>
    <row r="171" spans="1:14" x14ac:dyDescent="0.25">
      <c r="A171" s="114" t="s">
        <v>127</v>
      </c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91">
        <f t="shared" si="30"/>
      </c>
    </row>
    <row r="172" spans="1:14" x14ac:dyDescent="0.25">
      <c r="A172" s="114" t="s">
        <v>128</v>
      </c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91">
        <f t="shared" si="30"/>
      </c>
    </row>
    <row r="173" spans="1:14" x14ac:dyDescent="0.25">
      <c r="A173" s="114" t="s">
        <v>131</v>
      </c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91">
        <f t="shared" si="30"/>
      </c>
    </row>
    <row r="174" spans="1:2" x14ac:dyDescent="0.25">
      <c r="A174" s="52" t="s">
        <v>135</v>
      </c>
      <c r="B174" s="63"/>
    </row>
    <row r="175" spans="1:2" x14ac:dyDescent="0.25">
      <c r="A175" s="52" t="s">
        <v>136</v>
      </c>
      <c r="B175" s="63"/>
    </row>
    <row r="176" spans="1:2" x14ac:dyDescent="0.25">
      <c r="A176" s="63"/>
      <c r="B176" s="55" t="s">
        <v>145</v>
      </c>
    </row>
    <row r="177" spans="1:2" x14ac:dyDescent="0.25">
      <c r="A177" s="80" t="s">
        <v>146</v>
      </c>
      <c r="B177" s="55" t="s">
        <v>147</v>
      </c>
    </row>
    <row r="178" spans="1:2" x14ac:dyDescent="0.25">
      <c r="A178" s="55" t="s">
        <v>148</v>
      </c>
      <c r="B178" s="63"/>
    </row>
    <row r="179" spans="1:2" x14ac:dyDescent="0.25">
      <c r="A179" s="63"/>
      <c r="B179" s="63"/>
    </row>
    <row r="180" spans="1:2" x14ac:dyDescent="0.25">
      <c r="A180" s="55" t="s">
        <v>149</v>
      </c>
      <c r="B180" s="63"/>
    </row>
    <row r="181" spans="1:2" x14ac:dyDescent="0.25">
      <c r="A181" s="55" t="s">
        <v>150</v>
      </c>
      <c r="B181" s="63"/>
    </row>
    <row r="190" spans="1:1" x14ac:dyDescent="0.25">
      <c r="A190" t="s">
        <v>139</v>
      </c>
    </row>
  </sheetData>
  <mergeCells count="4">
    <mergeCell ref="A3:B3"/>
    <mergeCell ref="A4:B4"/>
    <mergeCell ref="A5:B5"/>
    <mergeCell ref="A7:B7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Juan's Resort</vt:lpstr>
      <vt:lpstr>AE DAE-1B by Country (Sum)</vt:lpstr>
      <vt:lpstr>AE DAE-1B (Monthly) Summary</vt:lpstr>
    </vt:vector>
  </TitlesOfParts>
  <Company>Department Of Tourism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Say</dc:creator>
  <cp:lastModifiedBy>Maria Donnalyn Brinas</cp:lastModifiedBy>
  <cp:lastPrinted>2010-07-16T08:19:07Z</cp:lastPrinted>
  <dcterms:created xsi:type="dcterms:W3CDTF">2005-08-08T16:28:05Z</dcterms:created>
  <dcterms:modified xsi:type="dcterms:W3CDTF">2026-03-06T01:16:16Z</dcterms:modified>
</cp:coreProperties>
</file>